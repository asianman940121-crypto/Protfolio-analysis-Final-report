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" sheetId="1" r:id="rId4"/>
    <sheet state="visible" name="contract_specs" sheetId="2" r:id="rId5"/>
    <sheet state="visible" name="index" sheetId="3" r:id="rId6"/>
    <sheet state="visible" name="績效淨值" sheetId="4" r:id="rId7"/>
    <sheet state="visible" name="stock" sheetId="5" r:id="rId8"/>
    <sheet state="visible" name="stock TW" sheetId="6" r:id="rId9"/>
    <sheet state="visible" name="stock_position" sheetId="7" r:id="rId10"/>
    <sheet state="visible" name="futures" sheetId="8" r:id="rId11"/>
    <sheet state="visible" name="futures_position" sheetId="9" r:id="rId12"/>
    <sheet state="visible" name="stock_events" sheetId="10" r:id="rId13"/>
    <sheet state="visible" name="bond" sheetId="11" r:id="rId14"/>
    <sheet state="visible" name="bond_position" sheetId="12" r:id="rId15"/>
    <sheet state="visible" name="bond_events" sheetId="13" r:id="rId16"/>
    <sheet state="visible" name="options" sheetId="14" r:id="rId17"/>
    <sheet state="visible" name="options_position" sheetId="15" r:id="rId18"/>
  </sheets>
  <definedNames/>
  <calcPr/>
  <extLst>
    <ext uri="GoogleSheetsCustomDataVersion2">
      <go:sheetsCustomData xmlns:go="http://customooxmlschemas.google.com/" r:id="rId19" roundtripDataChecksum="qkUSA9xEXiO5qbcICsCM8Em/BJP9gSZ1ymYsxtPzzPw="/>
    </ext>
  </extLst>
</workbook>
</file>

<file path=xl/sharedStrings.xml><?xml version="1.0" encoding="utf-8"?>
<sst xmlns="http://schemas.openxmlformats.org/spreadsheetml/2006/main" count="570" uniqueCount="402">
  <si>
    <t>Category</t>
  </si>
  <si>
    <t>Description</t>
  </si>
  <si>
    <t>Parameter</t>
  </si>
  <si>
    <t>Value</t>
  </si>
  <si>
    <t>usd to ntd</t>
  </si>
  <si>
    <t>Basic Settings</t>
  </si>
  <si>
    <t>初始資金 (USD)</t>
  </si>
  <si>
    <t>Initial_Capital</t>
  </si>
  <si>
    <t>無風險日利率 (0.003%)</t>
  </si>
  <si>
    <t>risk_free_rate_daily</t>
  </si>
  <si>
    <t>Transaction Costs</t>
  </si>
  <si>
    <t>股票手續費率 (0.1%)</t>
  </si>
  <si>
    <t>Stock_Comm_Rate</t>
  </si>
  <si>
    <t>股票交易稅率 (0.3%)</t>
  </si>
  <si>
    <t>Stock_Tax_Rate</t>
  </si>
  <si>
    <t>債券(有價)手續費率</t>
  </si>
  <si>
    <t>Bond_Known_Comm_Rate</t>
  </si>
  <si>
    <t>債券(插值)手續費率</t>
  </si>
  <si>
    <t>Bond_Interp_Comm_Rate</t>
  </si>
  <si>
    <t>Bond_Comm_Rate_Default</t>
  </si>
  <si>
    <t>Bond_Min_Comm_Default</t>
  </si>
  <si>
    <t>Bond_Tax_Rate_Default</t>
  </si>
  <si>
    <t>期貨手續費 (1個Tick)</t>
  </si>
  <si>
    <t>Future_Comm_Fixed</t>
  </si>
  <si>
    <t>1_Tick</t>
  </si>
  <si>
    <t>期貨交易稅率</t>
  </si>
  <si>
    <t>Future_Tax_Rate</t>
  </si>
  <si>
    <t>選擇權手續費 (1個Tick)</t>
  </si>
  <si>
    <t>Option_Comm_Fixed</t>
  </si>
  <si>
    <t>選擇權交易稅率</t>
  </si>
  <si>
    <t>Option_Tax_Rate</t>
  </si>
  <si>
    <t>Risk &amp; Margin Rules</t>
  </si>
  <si>
    <t>股票放空保證金率 (90%)</t>
  </si>
  <si>
    <t>Stock_Short_Initial</t>
  </si>
  <si>
    <t>股票放空維持率 (130%)</t>
  </si>
  <si>
    <t>Stock_Short_Maint</t>
  </si>
  <si>
    <t>期貨原始保證金率 (7%)</t>
  </si>
  <si>
    <t>Future_Initial_Rate</t>
  </si>
  <si>
    <t>期貨維持保證金率 (5%)</t>
  </si>
  <si>
    <t>Future_Maint_Rate</t>
  </si>
  <si>
    <t>選擇權賣方原始保證金率 (10%)</t>
  </si>
  <si>
    <t>Option_Short_Initial</t>
  </si>
  <si>
    <t>此為舊規則，暫時保留</t>
  </si>
  <si>
    <t>選擇權賣方維持保證金率 (7%)</t>
  </si>
  <si>
    <t>Option_Short_Maint</t>
  </si>
  <si>
    <t>單一資產權重上限 (30%)</t>
  </si>
  <si>
    <t>Max_Single_Asset</t>
  </si>
  <si>
    <t>現金水位上限 (30%)</t>
  </si>
  <si>
    <t>Max_Cash_Position</t>
  </si>
  <si>
    <t>賣選擇權的保證金</t>
  </si>
  <si>
    <t>Option_Short_Ratio</t>
  </si>
  <si>
    <t>新規則</t>
  </si>
  <si>
    <t>ticker</t>
  </si>
  <si>
    <t>asset_class</t>
  </si>
  <si>
    <t>multiplier</t>
  </si>
  <si>
    <t>tick_value</t>
  </si>
  <si>
    <t>comm_rate</t>
  </si>
  <si>
    <t>min_comm</t>
  </si>
  <si>
    <t>tax_rate</t>
  </si>
  <si>
    <t>margin_rate</t>
  </si>
  <si>
    <t>margin_fixed</t>
  </si>
  <si>
    <t>strike_price</t>
  </si>
  <si>
    <t>option_type</t>
  </si>
  <si>
    <t>underlying</t>
  </si>
  <si>
    <t>exchange</t>
  </si>
  <si>
    <t>AAPL</t>
  </si>
  <si>
    <t>stock</t>
  </si>
  <si>
    <t>NASDAQ</t>
  </si>
  <si>
    <t>蘋果 (手續費0.2%, 低消$1, 免稅)</t>
  </si>
  <si>
    <t>台股手續費2.8折</t>
  </si>
  <si>
    <t>TWSE</t>
  </si>
  <si>
    <t xml:space="preserve"> 聯發科</t>
  </si>
  <si>
    <t>美股手續費0.0035/股</t>
  </si>
  <si>
    <t>京元電</t>
  </si>
  <si>
    <t>東捷</t>
  </si>
  <si>
    <t>宏捷科</t>
  </si>
  <si>
    <t>日月光</t>
  </si>
  <si>
    <t>信錦</t>
  </si>
  <si>
    <t>聯鈞</t>
  </si>
  <si>
    <t>事欣科</t>
  </si>
  <si>
    <t>上銀科技</t>
  </si>
  <si>
    <t>智原</t>
  </si>
  <si>
    <t>玉晶光</t>
  </si>
  <si>
    <t>RKLB</t>
  </si>
  <si>
    <t>火箭實驗室</t>
  </si>
  <si>
    <t>LASR</t>
  </si>
  <si>
    <t>nLIGHT, Inc</t>
  </si>
  <si>
    <t>AR</t>
  </si>
  <si>
    <t>Antero Resources Corporation</t>
  </si>
  <si>
    <t>NTR</t>
  </si>
  <si>
    <t>Nutrien Ltd. (NTR)</t>
  </si>
  <si>
    <t>LUNR</t>
  </si>
  <si>
    <t>直覺機器</t>
  </si>
  <si>
    <t>RRC</t>
  </si>
  <si>
    <t>山脈資源</t>
  </si>
  <si>
    <t>AMSC</t>
  </si>
  <si>
    <t>美國超導體</t>
  </si>
  <si>
    <t>SQM</t>
  </si>
  <si>
    <t>智利化工礦</t>
  </si>
  <si>
    <t>ET</t>
  </si>
  <si>
    <t>美國能源運輸</t>
  </si>
  <si>
    <t>GSAT</t>
  </si>
  <si>
    <t>Globalstar</t>
  </si>
  <si>
    <t>OII</t>
  </si>
  <si>
    <t>國際海洋工程</t>
  </si>
  <si>
    <t>SLB</t>
  </si>
  <si>
    <t>斯倫貝謝</t>
  </si>
  <si>
    <t>SMTC</t>
  </si>
  <si>
    <t>陞特公司</t>
  </si>
  <si>
    <t>CMBT</t>
  </si>
  <si>
    <t>歐航公司</t>
  </si>
  <si>
    <t>SIMO</t>
  </si>
  <si>
    <t>慧榮科技股份有限公司</t>
  </si>
  <si>
    <t>CDNS</t>
  </si>
  <si>
    <t>楷登電子</t>
  </si>
  <si>
    <t>DINO</t>
  </si>
  <si>
    <t xml:space="preserve"> HF Sinclair</t>
  </si>
  <si>
    <t>FCEL</t>
  </si>
  <si>
    <t>燃料電池能源</t>
  </si>
  <si>
    <t>SYNA</t>
  </si>
  <si>
    <t>synaptcis</t>
  </si>
  <si>
    <t>MX</t>
  </si>
  <si>
    <t>美格納半導體</t>
  </si>
  <si>
    <t>PRLB</t>
  </si>
  <si>
    <t>portolab</t>
  </si>
  <si>
    <t>CSIQ</t>
  </si>
  <si>
    <t>加拿大阿特斯陽光電力</t>
  </si>
  <si>
    <t>SHLS</t>
  </si>
  <si>
    <t>OUST</t>
  </si>
  <si>
    <t>ouster inc</t>
  </si>
  <si>
    <t>US10Y</t>
  </si>
  <si>
    <t>bond</t>
  </si>
  <si>
    <t>HY_BOND</t>
  </si>
  <si>
    <t>高受益債</t>
  </si>
  <si>
    <t>future</t>
  </si>
  <si>
    <t>TAIFEX</t>
  </si>
  <si>
    <t>TX</t>
  </si>
  <si>
    <t>CME</t>
  </si>
  <si>
    <t xml:space="preserve">NASDAQ期貨 </t>
  </si>
  <si>
    <t>ALI</t>
  </si>
  <si>
    <t>GC</t>
  </si>
  <si>
    <t>HG</t>
  </si>
  <si>
    <t>ibkr broker 一口0.85$</t>
  </si>
  <si>
    <t>TXO_16000_P</t>
  </si>
  <si>
    <t>option</t>
  </si>
  <si>
    <t>put</t>
  </si>
  <si>
    <t>Index</t>
  </si>
  <si>
    <t>AAPL_180_C</t>
  </si>
  <si>
    <t>call</t>
  </si>
  <si>
    <t>CBOE</t>
  </si>
  <si>
    <t>date</t>
  </si>
  <si>
    <t>index_p</t>
  </si>
  <si>
    <t>SP</t>
  </si>
  <si>
    <t>台股GMV</t>
  </si>
  <si>
    <t>美股GMV</t>
  </si>
  <si>
    <t>股票變動</t>
  </si>
  <si>
    <t>期貨變動</t>
  </si>
  <si>
    <t>股票累積手續費</t>
  </si>
  <si>
    <t>期貨累積手續費</t>
  </si>
  <si>
    <t>綜合累積手續費</t>
  </si>
  <si>
    <t>稅</t>
  </si>
  <si>
    <t>股利收入</t>
  </si>
  <si>
    <t>股利累積收入</t>
  </si>
  <si>
    <t>淨值</t>
  </si>
  <si>
    <t>程式淨值</t>
  </si>
  <si>
    <t>差額</t>
  </si>
  <si>
    <t>東捷佔比</t>
  </si>
  <si>
    <t>買入期貨</t>
  </si>
  <si>
    <t>結算獲利</t>
  </si>
  <si>
    <t>暫時保留</t>
  </si>
  <si>
    <t>台股</t>
  </si>
  <si>
    <t>美股</t>
  </si>
  <si>
    <t>期貨</t>
  </si>
  <si>
    <t>現金</t>
  </si>
  <si>
    <t>總額</t>
  </si>
  <si>
    <t>附註</t>
  </si>
  <si>
    <t>期貨安全線</t>
  </si>
  <si>
    <t>報倉</t>
  </si>
  <si>
    <t xml:space="preserve">程式101,958,088  </t>
  </si>
  <si>
    <t>賣出期貨損益</t>
  </si>
  <si>
    <t>黃金部位＋現金</t>
  </si>
  <si>
    <t>程式淨值116,586,440.83</t>
  </si>
  <si>
    <t>0424股票淨值</t>
  </si>
  <si>
    <t>股票原始價值</t>
  </si>
  <si>
    <t>符合</t>
  </si>
  <si>
    <t>股票GMV</t>
  </si>
  <si>
    <t>期貨保證金</t>
  </si>
  <si>
    <t>原始保證金</t>
  </si>
  <si>
    <t>需要補倉</t>
  </si>
  <si>
    <t>期貨損益</t>
  </si>
  <si>
    <t>保證金損益</t>
  </si>
  <si>
    <t>期貨原始價值</t>
  </si>
  <si>
    <t>新保證金</t>
  </si>
  <si>
    <t>補倉後保證金</t>
  </si>
  <si>
    <t>期貨GMV</t>
  </si>
  <si>
    <t>低於維持保證金</t>
  </si>
  <si>
    <t>補倉後現金</t>
  </si>
  <si>
    <t>股票手續費</t>
  </si>
  <si>
    <t>期貨手續費</t>
  </si>
  <si>
    <t>手續費</t>
  </si>
  <si>
    <t>總變化</t>
  </si>
  <si>
    <t>810357-427000-23275.65</t>
  </si>
  <si>
    <t>股票變動＋期貨變動-手續費-稅</t>
  </si>
  <si>
    <t>總淨值（目標）</t>
  </si>
  <si>
    <t>100000000+360081.35</t>
  </si>
  <si>
    <t>（目標）</t>
  </si>
  <si>
    <t>本金＋股票變動＋期貨變動-手續費-稅</t>
  </si>
  <si>
    <t>現金＋股票原始價值＋股票變動＋期貨原始價值＋期貨變動-手續費-稅</t>
  </si>
  <si>
    <t>現金＋股票GMV＋期貨GMV-手續費-稅</t>
  </si>
  <si>
    <t>新方法</t>
  </si>
  <si>
    <t>（台股＋美股）股票GMV+期貨保證金-股票手續費-期貨手續費-稅</t>
  </si>
  <si>
    <t>自由現金＋股票原始＋期貨保證金＝本金</t>
  </si>
  <si>
    <t>自由現金＋股票原始＋變動＋期貨保證＋期貨變動+補倉-手續</t>
  </si>
  <si>
    <t>噹噹</t>
  </si>
  <si>
    <t>自由現金＋期貨保證金＋股票原始值</t>
  </si>
  <si>
    <t>股票變化＋期貨變化-手續費-稅</t>
  </si>
  <si>
    <t>自由現金＋期貨保證金-手續費-稅+（期貨結算-期貨保證）也就是期貨變化＋股票原始值＋股票變化</t>
  </si>
  <si>
    <t>理論正確</t>
  </si>
  <si>
    <t>股票原始值3/23</t>
  </si>
  <si>
    <t>正確</t>
  </si>
  <si>
    <t>股票原始值＋股票變動</t>
  </si>
  <si>
    <t>原始值＋跳動多了GMV這麼多</t>
  </si>
  <si>
    <t>新股票原始值</t>
  </si>
  <si>
    <t>原始值3/30</t>
  </si>
  <si>
    <t>股票變化</t>
  </si>
  <si>
    <t>求算股票變化</t>
  </si>
  <si>
    <t>GMV</t>
  </si>
  <si>
    <t>股票原始</t>
  </si>
  <si>
    <t>期貨備用資金</t>
  </si>
  <si>
    <t>本金</t>
  </si>
  <si>
    <t>3/23開盤</t>
  </si>
  <si>
    <t>3/23收盤</t>
  </si>
  <si>
    <t>變動原因</t>
  </si>
  <si>
    <t>margin call 427000</t>
  </si>
  <si>
    <t>3/26收盤</t>
  </si>
  <si>
    <t>margin call 92000</t>
  </si>
  <si>
    <t>4/13開盤</t>
  </si>
  <si>
    <t>黃金期貨獲利</t>
  </si>
  <si>
    <t>RKLB_p</t>
  </si>
  <si>
    <t>LASR_p</t>
  </si>
  <si>
    <t>AR_p</t>
  </si>
  <si>
    <t>NTR_p</t>
  </si>
  <si>
    <t>RRC_p</t>
  </si>
  <si>
    <t>ET_p</t>
  </si>
  <si>
    <t>GSAT_p</t>
  </si>
  <si>
    <t>SQM_p</t>
  </si>
  <si>
    <t>OII_p</t>
  </si>
  <si>
    <t>SLB_p</t>
  </si>
  <si>
    <t>SIMO_p</t>
  </si>
  <si>
    <t>FCEL_p</t>
  </si>
  <si>
    <t>LUNR_p</t>
  </si>
  <si>
    <t>AMSC_p</t>
  </si>
  <si>
    <t>SMTC_p</t>
  </si>
  <si>
    <t>CMBT_p</t>
  </si>
  <si>
    <t>CDNS_p</t>
  </si>
  <si>
    <t>DINO_p</t>
  </si>
  <si>
    <t>SYNA_p</t>
  </si>
  <si>
    <t>MX_p</t>
  </si>
  <si>
    <t>PRLB_p</t>
  </si>
  <si>
    <t>CSIQ_p</t>
  </si>
  <si>
    <t>SHLS_p</t>
  </si>
  <si>
    <t>OUST_p</t>
  </si>
  <si>
    <t>2454_p</t>
  </si>
  <si>
    <t>1582_p</t>
  </si>
  <si>
    <t>8086_p</t>
  </si>
  <si>
    <t>3450_p</t>
  </si>
  <si>
    <t>4916_p</t>
  </si>
  <si>
    <t>3035_p</t>
  </si>
  <si>
    <t>2449_p</t>
  </si>
  <si>
    <t>8064_p</t>
  </si>
  <si>
    <t>3711_p</t>
  </si>
  <si>
    <t>2049_p</t>
  </si>
  <si>
    <t>3406_p</t>
  </si>
  <si>
    <t>由於0406沒有匯率更新.股價換算直接照0402的價值</t>
  </si>
  <si>
    <t>請從這行開始複製公式</t>
  </si>
  <si>
    <t>由於0501沒有匯率更新.股價換算直接照0430的價值</t>
  </si>
  <si>
    <t>RKLB_buyprice</t>
  </si>
  <si>
    <t>LASR_buyprice</t>
  </si>
  <si>
    <t>AR_buyprice</t>
  </si>
  <si>
    <t>NTR_buyprice</t>
  </si>
  <si>
    <t>RRC_buyprice</t>
  </si>
  <si>
    <t>ET_buyprice</t>
  </si>
  <si>
    <t>GSAT_buyprice</t>
  </si>
  <si>
    <t>SQM_buyprice</t>
  </si>
  <si>
    <t>OII_buyprice</t>
  </si>
  <si>
    <t>SLB_buyprice</t>
  </si>
  <si>
    <t>SIMO_buyprice</t>
  </si>
  <si>
    <t>FCEL_buyprice</t>
  </si>
  <si>
    <t>LUNR_buyprice</t>
  </si>
  <si>
    <t>AMSC_buyprice</t>
  </si>
  <si>
    <t>SMTC_buyprice</t>
  </si>
  <si>
    <t>CMBT_buyprice</t>
  </si>
  <si>
    <t>CDNS_buyprice</t>
  </si>
  <si>
    <t>DINO_buyprice</t>
  </si>
  <si>
    <t>SYNA_buyprice</t>
  </si>
  <si>
    <t>MX_buyprice</t>
  </si>
  <si>
    <t>PRLB_buyprice</t>
  </si>
  <si>
    <t>CSIQ_buyprice</t>
  </si>
  <si>
    <t>SHLS_buyprice</t>
  </si>
  <si>
    <t>OUST_buyprice</t>
  </si>
  <si>
    <t>8064_buyprice</t>
  </si>
  <si>
    <t>3711_buyprice</t>
  </si>
  <si>
    <t>2049_buyprice</t>
  </si>
  <si>
    <t>3406_buyprice</t>
  </si>
  <si>
    <t>2454_buyprice</t>
  </si>
  <si>
    <t>1582_buyprice</t>
  </si>
  <si>
    <t>8086_buyprice</t>
  </si>
  <si>
    <t>4916_buyprice</t>
  </si>
  <si>
    <t>3450_buyprice</t>
  </si>
  <si>
    <t>3035_buyprice</t>
  </si>
  <si>
    <t>2449_buyprice</t>
  </si>
  <si>
    <t>TX_p</t>
  </si>
  <si>
    <t>ES_p</t>
  </si>
  <si>
    <t>ALI_p</t>
  </si>
  <si>
    <t>GC_p</t>
  </si>
  <si>
    <t>HG_p</t>
  </si>
  <si>
    <t>TX_buyprice</t>
  </si>
  <si>
    <t>NQ</t>
  </si>
  <si>
    <t>NQ_buyprice</t>
  </si>
  <si>
    <t>ALI_buyprice</t>
  </si>
  <si>
    <t>GC_buyprice</t>
  </si>
  <si>
    <t>HG_buyprice</t>
  </si>
  <si>
    <t>RKLB_cd</t>
  </si>
  <si>
    <t>RKLB_sd</t>
  </si>
  <si>
    <t>LASR_cd</t>
  </si>
  <si>
    <t>LASR_sd</t>
  </si>
  <si>
    <t>AR_cd</t>
  </si>
  <si>
    <t xml:space="preserve"> AR_sd</t>
  </si>
  <si>
    <t>NTR_cd</t>
  </si>
  <si>
    <t>NTR_sd</t>
  </si>
  <si>
    <t>RRC_cd</t>
  </si>
  <si>
    <t>RRC_sd</t>
  </si>
  <si>
    <t>ET_cd</t>
  </si>
  <si>
    <t>ET_sd</t>
  </si>
  <si>
    <t>GSAT_cd</t>
  </si>
  <si>
    <t>GSAT_sd</t>
  </si>
  <si>
    <t>SQM_cd</t>
  </si>
  <si>
    <t>SQM_sd</t>
  </si>
  <si>
    <t>OII_cd</t>
  </si>
  <si>
    <t>OII_sd</t>
  </si>
  <si>
    <t>SLB_cd</t>
  </si>
  <si>
    <t>SLB_sd</t>
  </si>
  <si>
    <t>SIMO_cd</t>
  </si>
  <si>
    <t>SIMO_sd</t>
  </si>
  <si>
    <t>FCEL_cd</t>
  </si>
  <si>
    <t>FCEL_sd</t>
  </si>
  <si>
    <t>LUNR_cd</t>
  </si>
  <si>
    <t>LUNR_sd</t>
  </si>
  <si>
    <t>AMSC_cd</t>
  </si>
  <si>
    <t>AMSC_sd</t>
  </si>
  <si>
    <t>SMTC_cd</t>
  </si>
  <si>
    <t>SMTC_sd</t>
  </si>
  <si>
    <t>CMBT_cd</t>
  </si>
  <si>
    <t>CMBT_sd</t>
  </si>
  <si>
    <t>CDNS_cd</t>
  </si>
  <si>
    <t>CDNS_sd</t>
  </si>
  <si>
    <t>DINO_cd</t>
  </si>
  <si>
    <t>DINO_sd</t>
  </si>
  <si>
    <t>SYNA_cd</t>
  </si>
  <si>
    <t>SYNA_sd</t>
  </si>
  <si>
    <t>MX_cd</t>
  </si>
  <si>
    <t>MX_sd</t>
  </si>
  <si>
    <t>PRLB_cd</t>
  </si>
  <si>
    <t>PRLD_sd</t>
  </si>
  <si>
    <t>CSIQ_cd</t>
  </si>
  <si>
    <t>CSIQ_sd</t>
  </si>
  <si>
    <t>SHLS_cd</t>
  </si>
  <si>
    <t>SHLS_sd</t>
  </si>
  <si>
    <t>OUST_cd</t>
  </si>
  <si>
    <t>OUST_sd</t>
  </si>
  <si>
    <t>2454_cd</t>
  </si>
  <si>
    <t>2454_sd</t>
  </si>
  <si>
    <t>1582_cd</t>
  </si>
  <si>
    <t>1582_sd</t>
  </si>
  <si>
    <t>8086_cd</t>
  </si>
  <si>
    <t>8086_sd</t>
  </si>
  <si>
    <t>3035_cd</t>
  </si>
  <si>
    <t>3035_sd</t>
  </si>
  <si>
    <t>4916_cd</t>
  </si>
  <si>
    <t>4916_sd</t>
  </si>
  <si>
    <t>3450_cd</t>
  </si>
  <si>
    <t>3450_sd</t>
  </si>
  <si>
    <t>2449_cd</t>
  </si>
  <si>
    <t>2449_sd</t>
  </si>
  <si>
    <t>8064_cd</t>
  </si>
  <si>
    <t>8064_sd</t>
  </si>
  <si>
    <t>3711_cd</t>
  </si>
  <si>
    <t>3711_sd</t>
  </si>
  <si>
    <t>2049_cd</t>
  </si>
  <si>
    <t>2049_sd</t>
  </si>
  <si>
    <t>3406_cd</t>
  </si>
  <si>
    <t>3406_sd</t>
  </si>
  <si>
    <t>US10Y_p</t>
  </si>
  <si>
    <t>HY_BOND_p</t>
  </si>
  <si>
    <t>US10Y_buyprice</t>
  </si>
  <si>
    <t>HY_BOND_buyprice</t>
  </si>
  <si>
    <t>HY_BOND_coupon_payment</t>
  </si>
  <si>
    <t>TXO_16000_P_p</t>
  </si>
  <si>
    <t>AAPL_180_C_p</t>
  </si>
  <si>
    <t>TXO_16000_P_buyprice</t>
  </si>
  <si>
    <t>AAPL_180_P</t>
  </si>
  <si>
    <t>AAPL_180_P_buyprice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</si>
</sst>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"/>
    <numFmt numFmtId="165" formatCode="yyyy/m/d"/>
    <numFmt numFmtId="166" formatCode="#,##0.00000"/>
    <numFmt numFmtId="167" formatCode="#,##0.000000"/>
    <numFmt numFmtId="168" formatCode="#,##0.0000000"/>
    <numFmt numFmtId="169" formatCode="yyyy/mm/dd"/>
    <numFmt numFmtId="170" formatCode="0.0"/>
    <numFmt numFmtId="171" formatCode="#,##0.0"/>
  </numFmts>
  <fonts count="1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sz val="12.0"/>
      <color theme="1"/>
      <name val="PMingLiu"/>
    </font>
    <font>
      <sz val="11.0"/>
      <color theme="1"/>
      <name val="Calibri"/>
    </font>
    <font>
      <color rgb="FFFF0000"/>
      <name val="Calibri"/>
      <scheme val="minor"/>
    </font>
    <font>
      <sz val="11.0"/>
      <color rgb="FF000000"/>
      <name val="Calibri"/>
      <scheme val="minor"/>
    </font>
    <font>
      <color rgb="FF000000"/>
      <name val="Calibri"/>
      <scheme val="minor"/>
    </font>
    <font>
      <sz val="11.0"/>
      <color rgb="FF0A0A0A"/>
      <name val="Calibri"/>
      <scheme val="minor"/>
    </font>
    <font>
      <sz val="11.0"/>
      <color rgb="FFFF0000"/>
      <name val="PMingLiu"/>
    </font>
    <font>
      <sz val="11.0"/>
      <color rgb="FF1F1F1F"/>
      <name val="Arial"/>
    </font>
    <font>
      <sz val="11.0"/>
      <color rgb="FF1F1F1F"/>
      <name val="Monospace"/>
    </font>
    <font>
      <color rgb="FFFF9900"/>
      <name val="Calibri"/>
      <scheme val="minor"/>
    </font>
    <font>
      <sz val="11.0"/>
      <color rgb="FFFF9900"/>
      <name val="PMingLiu"/>
    </font>
    <font>
      <color rgb="FF0000FF"/>
      <name val="Calibri"/>
      <scheme val="minor"/>
    </font>
    <font>
      <sz val="11.0"/>
      <color rgb="FF000000"/>
      <name val="PMingLiu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 vertical="center"/>
    </xf>
    <xf borderId="0" fillId="0" fontId="2" numFmtId="164" xfId="0" applyAlignment="1" applyFont="1" applyNumberFormat="1">
      <alignment readingOrder="0"/>
    </xf>
    <xf borderId="0" fillId="0" fontId="4" numFmtId="164" xfId="0" applyAlignment="1" applyFont="1" applyNumberFormat="1">
      <alignment horizontal="right" vertical="bottom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0" xfId="0" applyFont="1"/>
    <xf borderId="0" fillId="0" fontId="5" numFmtId="0" xfId="0" applyFont="1"/>
    <xf borderId="0" fillId="0" fontId="1" numFmtId="0" xfId="0" applyAlignment="1" applyFont="1">
      <alignment horizontal="left" readingOrder="0" vertical="center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horizontal="left" readingOrder="0"/>
    </xf>
    <xf borderId="0" fillId="0" fontId="8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9" numFmtId="0" xfId="0" applyAlignment="1" applyFont="1">
      <alignment readingOrder="0" vertical="center"/>
    </xf>
    <xf borderId="0" fillId="5" fontId="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3" fontId="2" numFmtId="0" xfId="0" applyFont="1"/>
    <xf borderId="0" fillId="6" fontId="2" numFmtId="0" xfId="0" applyAlignment="1" applyFill="1" applyFont="1">
      <alignment readingOrder="0"/>
    </xf>
    <xf borderId="0" fillId="6" fontId="2" numFmtId="0" xfId="0" applyFont="1"/>
    <xf borderId="0" fillId="0" fontId="1" numFmtId="165" xfId="0" applyAlignment="1" applyFont="1" applyNumberFormat="1">
      <alignment readingOrder="0" vertical="center"/>
    </xf>
    <xf borderId="0" fillId="0" fontId="1" numFmtId="4" xfId="0" applyAlignment="1" applyFont="1" applyNumberFormat="1">
      <alignment readingOrder="0" vertical="center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68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/>
    </xf>
    <xf borderId="0" fillId="0" fontId="2" numFmtId="2" xfId="0" applyFont="1" applyNumberFormat="1"/>
    <xf borderId="0" fillId="0" fontId="2" numFmtId="4" xfId="0" applyFont="1" applyNumberFormat="1"/>
    <xf borderId="0" fillId="0" fontId="5" numFmtId="165" xfId="0" applyAlignment="1" applyFont="1" applyNumberFormat="1">
      <alignment readingOrder="0"/>
    </xf>
    <xf borderId="0" fillId="0" fontId="2" numFmtId="3" xfId="0" applyFont="1" applyNumberFormat="1"/>
    <xf borderId="0" fillId="6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7" numFmtId="0" xfId="0" applyFont="1"/>
    <xf borderId="0" fillId="7" fontId="2" numFmtId="165" xfId="0" applyAlignment="1" applyFill="1" applyFont="1" applyNumberFormat="1">
      <alignment readingOrder="0"/>
    </xf>
    <xf borderId="0" fillId="7" fontId="2" numFmtId="0" xfId="0" applyFont="1"/>
    <xf borderId="0" fillId="7" fontId="2" numFmtId="4" xfId="0" applyFont="1" applyNumberFormat="1"/>
    <xf borderId="0" fillId="7" fontId="2" numFmtId="0" xfId="0" applyAlignment="1" applyFont="1">
      <alignment readingOrder="0"/>
    </xf>
    <xf borderId="0" fillId="7" fontId="2" numFmtId="4" xfId="0" applyAlignment="1" applyFont="1" applyNumberFormat="1">
      <alignment readingOrder="0"/>
    </xf>
    <xf borderId="0" fillId="7" fontId="7" numFmtId="4" xfId="0" applyFont="1" applyNumberFormat="1"/>
    <xf borderId="0" fillId="0" fontId="7" numFmtId="165" xfId="0" applyAlignment="1" applyFont="1" applyNumberFormat="1">
      <alignment readingOrder="0"/>
    </xf>
    <xf borderId="0" fillId="6" fontId="2" numFmtId="4" xfId="0" applyFont="1" applyNumberFormat="1"/>
    <xf borderId="0" fillId="0" fontId="7" numFmtId="4" xfId="0" applyFont="1" applyNumberFormat="1"/>
    <xf borderId="0" fillId="0" fontId="2" numFmtId="3" xfId="0" applyAlignment="1" applyFont="1" applyNumberFormat="1">
      <alignment readingOrder="0"/>
    </xf>
    <xf borderId="0" fillId="8" fontId="2" numFmtId="0" xfId="0" applyFill="1" applyFont="1"/>
    <xf borderId="0" fillId="2" fontId="10" numFmtId="4" xfId="0" applyAlignment="1" applyFont="1" applyNumberFormat="1">
      <alignment readingOrder="0"/>
    </xf>
    <xf borderId="0" fillId="2" fontId="11" numFmtId="4" xfId="0" applyAlignment="1" applyFont="1" applyNumberFormat="1">
      <alignment readingOrder="0"/>
    </xf>
    <xf borderId="0" fillId="0" fontId="7" numFmtId="3" xfId="0" applyFont="1" applyNumberFormat="1"/>
    <xf borderId="0" fillId="2" fontId="10" numFmtId="3" xfId="0" applyAlignment="1" applyFont="1" applyNumberFormat="1">
      <alignment readingOrder="0"/>
    </xf>
    <xf borderId="0" fillId="2" fontId="11" numFmtId="3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7" numFmtId="0" xfId="0" applyAlignment="1" applyFont="1">
      <alignment readingOrder="0"/>
    </xf>
    <xf borderId="0" fillId="0" fontId="2" numFmtId="1" xfId="0" applyFont="1" applyNumberFormat="1"/>
    <xf borderId="0" fillId="0" fontId="12" numFmtId="1" xfId="0" applyFont="1" applyNumberFormat="1"/>
    <xf borderId="0" fillId="0" fontId="12" numFmtId="3" xfId="0" applyAlignment="1" applyFont="1" applyNumberFormat="1">
      <alignment readingOrder="0"/>
    </xf>
    <xf borderId="0" fillId="0" fontId="5" numFmtId="3" xfId="0" applyFont="1" applyNumberFormat="1"/>
    <xf borderId="0" fillId="0" fontId="1" numFmtId="169" xfId="0" applyAlignment="1" applyFont="1" applyNumberFormat="1">
      <alignment readingOrder="0" vertical="center"/>
    </xf>
    <xf borderId="0" fillId="0" fontId="9" numFmtId="169" xfId="0" applyAlignment="1" applyFont="1" applyNumberFormat="1">
      <alignment readingOrder="0" vertical="center"/>
    </xf>
    <xf borderId="0" fillId="0" fontId="13" numFmtId="169" xfId="0" applyAlignment="1" applyFont="1" applyNumberFormat="1">
      <alignment readingOrder="0" vertical="center"/>
    </xf>
    <xf borderId="0" fillId="8" fontId="12" numFmtId="0" xfId="0" applyAlignment="1" applyFont="1">
      <alignment readingOrder="0"/>
    </xf>
    <xf borderId="0" fillId="8" fontId="2" numFmtId="0" xfId="0" applyAlignment="1" applyFont="1">
      <alignment readingOrder="0"/>
    </xf>
    <xf borderId="0" fillId="7" fontId="1" numFmtId="169" xfId="0" applyAlignment="1" applyFont="1" applyNumberFormat="1">
      <alignment readingOrder="0" vertical="center"/>
    </xf>
    <xf borderId="0" fillId="7" fontId="5" numFmtId="170" xfId="0" applyFont="1" applyNumberFormat="1"/>
    <xf borderId="0" fillId="0" fontId="5" numFmtId="170" xfId="0" applyFont="1" applyNumberFormat="1"/>
    <xf borderId="0" fillId="7" fontId="5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170" xfId="0" applyFont="1" applyNumberFormat="1"/>
    <xf borderId="0" fillId="2" fontId="10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7" fontId="14" numFmtId="0" xfId="0" applyFont="1"/>
    <xf borderId="0" fillId="7" fontId="14" numFmtId="0" xfId="0" applyAlignment="1" applyFont="1">
      <alignment readingOrder="0"/>
    </xf>
    <xf borderId="0" fillId="3" fontId="1" numFmtId="169" xfId="0" applyAlignment="1" applyFont="1" applyNumberFormat="1">
      <alignment readingOrder="0" vertical="center"/>
    </xf>
    <xf borderId="0" fillId="9" fontId="1" numFmtId="169" xfId="0" applyAlignment="1" applyFill="1" applyFont="1" applyNumberFormat="1">
      <alignment readingOrder="0" vertical="center"/>
    </xf>
    <xf borderId="0" fillId="9" fontId="2" numFmtId="0" xfId="0" applyFont="1"/>
    <xf borderId="0" fillId="9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3" numFmtId="0" xfId="0" applyAlignment="1" applyFont="1">
      <alignment readingOrder="0" vertical="center"/>
    </xf>
    <xf borderId="0" fillId="7" fontId="7" numFmtId="0" xfId="0" applyFont="1"/>
    <xf borderId="0" fillId="0" fontId="1" numFmtId="4" xfId="0" applyAlignment="1" applyFont="1" applyNumberFormat="1">
      <alignment vertical="center"/>
    </xf>
    <xf borderId="0" fillId="7" fontId="1" numFmtId="3" xfId="0" applyAlignment="1" applyFont="1" applyNumberFormat="1">
      <alignment readingOrder="0" vertical="center"/>
    </xf>
    <xf borderId="0" fillId="7" fontId="0" numFmtId="4" xfId="0" applyAlignment="1" applyFont="1" applyNumberFormat="1">
      <alignment readingOrder="0" vertical="center"/>
    </xf>
    <xf borderId="0" fillId="7" fontId="0" numFmtId="3" xfId="0" applyAlignment="1" applyFont="1" applyNumberFormat="1">
      <alignment readingOrder="0" vertical="center"/>
    </xf>
    <xf borderId="0" fillId="7" fontId="1" numFmtId="4" xfId="0" applyAlignment="1" applyFont="1" applyNumberFormat="1">
      <alignment vertical="center"/>
    </xf>
    <xf borderId="0" fillId="7" fontId="0" numFmtId="171" xfId="0" applyAlignment="1" applyFont="1" applyNumberFormat="1">
      <alignment readingOrder="0" vertical="center"/>
    </xf>
    <xf borderId="0" fillId="7" fontId="7" numFmtId="0" xfId="0" applyAlignment="1" applyFont="1">
      <alignment readingOrder="0"/>
    </xf>
    <xf borderId="0" fillId="7" fontId="1" numFmtId="4" xfId="0" applyAlignment="1" applyFont="1" applyNumberFormat="1">
      <alignment readingOrder="0" vertical="center"/>
    </xf>
    <xf borderId="0" fillId="0" fontId="0" numFmtId="3" xfId="0" applyAlignment="1" applyFont="1" applyNumberFormat="1">
      <alignment readingOrder="0" vertical="center"/>
    </xf>
    <xf borderId="0" fillId="0" fontId="1" numFmtId="169" xfId="0" applyAlignment="1" applyFont="1" applyNumberFormat="1">
      <alignment horizontal="right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15" numFmtId="169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3.0"/>
    <col customWidth="1" min="3" max="3" width="28.86"/>
    <col customWidth="1" min="4" max="4" width="31.0"/>
    <col customWidth="1" min="5" max="26" width="8.71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H1" s="4" t="s">
        <v>4</v>
      </c>
    </row>
    <row r="2" ht="15.75" customHeight="1">
      <c r="A2" s="1" t="s">
        <v>5</v>
      </c>
      <c r="B2" s="2" t="s">
        <v>6</v>
      </c>
      <c r="C2" s="1" t="s">
        <v>7</v>
      </c>
      <c r="D2" s="5">
        <v>1.0E8</v>
      </c>
      <c r="H2" s="6">
        <v>46104.0</v>
      </c>
      <c r="I2" s="4">
        <v>32.01</v>
      </c>
    </row>
    <row r="3" ht="15.75" customHeight="1">
      <c r="B3" s="2" t="s">
        <v>8</v>
      </c>
      <c r="C3" s="1" t="s">
        <v>9</v>
      </c>
      <c r="D3" s="1">
        <v>3.0E-5</v>
      </c>
      <c r="H3" s="7">
        <v>46105.0</v>
      </c>
      <c r="I3" s="4">
        <v>31.64</v>
      </c>
    </row>
    <row r="4" ht="15.75" customHeight="1">
      <c r="A4" s="8" t="s">
        <v>10</v>
      </c>
      <c r="B4" s="2" t="s">
        <v>11</v>
      </c>
      <c r="C4" s="1" t="s">
        <v>12</v>
      </c>
      <c r="D4" s="9">
        <v>3.99E-4</v>
      </c>
      <c r="H4" s="7">
        <v>46106.0</v>
      </c>
      <c r="I4" s="4">
        <v>31.53</v>
      </c>
    </row>
    <row r="5" ht="15.75" customHeight="1">
      <c r="B5" s="2" t="s">
        <v>13</v>
      </c>
      <c r="C5" s="1" t="s">
        <v>14</v>
      </c>
      <c r="D5" s="9">
        <v>0.0015</v>
      </c>
      <c r="H5" s="7">
        <v>46107.0</v>
      </c>
      <c r="I5" s="4">
        <v>31.48</v>
      </c>
    </row>
    <row r="6" ht="15.75" customHeight="1">
      <c r="B6" s="2" t="s">
        <v>15</v>
      </c>
      <c r="C6" s="1" t="s">
        <v>16</v>
      </c>
      <c r="D6" s="1">
        <v>0.001</v>
      </c>
      <c r="H6" s="7">
        <v>46108.0</v>
      </c>
      <c r="I6" s="4">
        <v>31.48</v>
      </c>
    </row>
    <row r="7" ht="15.75" customHeight="1">
      <c r="B7" s="2" t="s">
        <v>17</v>
      </c>
      <c r="C7" s="1" t="s">
        <v>18</v>
      </c>
      <c r="D7" s="1">
        <v>0.002</v>
      </c>
      <c r="H7" s="7">
        <v>46111.0</v>
      </c>
      <c r="I7" s="4">
        <v>31.6</v>
      </c>
    </row>
    <row r="8" ht="15.75" customHeight="1">
      <c r="C8" s="2" t="s">
        <v>19</v>
      </c>
      <c r="D8" s="1">
        <v>0.001</v>
      </c>
      <c r="H8" s="7">
        <v>46112.0</v>
      </c>
      <c r="I8" s="4">
        <v>31.595</v>
      </c>
    </row>
    <row r="9" ht="15.75" customHeight="1">
      <c r="C9" s="2" t="s">
        <v>20</v>
      </c>
      <c r="D9" s="1">
        <v>5.0</v>
      </c>
      <c r="H9" s="7">
        <v>46113.0</v>
      </c>
      <c r="I9" s="4">
        <v>31.56</v>
      </c>
    </row>
    <row r="10" ht="15.75" customHeight="1">
      <c r="C10" s="2" t="s">
        <v>21</v>
      </c>
      <c r="D10" s="1">
        <v>0.0</v>
      </c>
      <c r="H10" s="7">
        <v>46114.0</v>
      </c>
      <c r="I10" s="4">
        <v>31.58</v>
      </c>
    </row>
    <row r="11" ht="15.75" customHeight="1">
      <c r="C11" s="1"/>
      <c r="D11" s="1"/>
      <c r="H11" s="6">
        <v>46118.0</v>
      </c>
      <c r="I11" s="4">
        <v>31.9555</v>
      </c>
    </row>
    <row r="12" ht="15.75" customHeight="1">
      <c r="B12" s="2" t="s">
        <v>22</v>
      </c>
      <c r="C12" s="1" t="s">
        <v>23</v>
      </c>
      <c r="D12" s="1" t="s">
        <v>24</v>
      </c>
      <c r="H12" s="7">
        <v>46119.0</v>
      </c>
      <c r="I12" s="4">
        <v>31.967</v>
      </c>
    </row>
    <row r="13" ht="15.75" customHeight="1">
      <c r="B13" s="2" t="s">
        <v>25</v>
      </c>
      <c r="C13" s="1" t="s">
        <v>26</v>
      </c>
      <c r="D13" s="1">
        <v>2.0E-5</v>
      </c>
      <c r="H13" s="7">
        <v>46120.0</v>
      </c>
      <c r="I13" s="4">
        <v>31.73</v>
      </c>
    </row>
    <row r="14" ht="15.75" customHeight="1">
      <c r="B14" s="2" t="s">
        <v>27</v>
      </c>
      <c r="C14" s="1" t="s">
        <v>28</v>
      </c>
      <c r="D14" s="1" t="s">
        <v>24</v>
      </c>
      <c r="H14" s="7">
        <v>46121.0</v>
      </c>
      <c r="I14" s="4">
        <v>31.725</v>
      </c>
    </row>
    <row r="15" ht="15.75" customHeight="1">
      <c r="B15" s="2" t="s">
        <v>29</v>
      </c>
      <c r="C15" s="1" t="s">
        <v>30</v>
      </c>
      <c r="D15" s="1">
        <v>0.001</v>
      </c>
      <c r="H15" s="7">
        <v>46122.0</v>
      </c>
      <c r="I15" s="4">
        <v>31.33</v>
      </c>
    </row>
    <row r="16" ht="15.75" customHeight="1">
      <c r="A16" s="1"/>
      <c r="D16" s="10"/>
      <c r="H16" s="7">
        <v>46125.0</v>
      </c>
      <c r="I16" s="4">
        <v>31.405</v>
      </c>
    </row>
    <row r="17" ht="15.75" customHeight="1">
      <c r="A17" s="1"/>
      <c r="C17" s="1"/>
      <c r="D17" s="1"/>
      <c r="H17" s="7">
        <v>46126.0</v>
      </c>
      <c r="I17" s="4">
        <v>31.65</v>
      </c>
    </row>
    <row r="18" ht="15.75" customHeight="1">
      <c r="A18" s="8" t="s">
        <v>31</v>
      </c>
      <c r="B18" s="2" t="s">
        <v>32</v>
      </c>
      <c r="C18" s="1" t="s">
        <v>33</v>
      </c>
      <c r="D18" s="1">
        <v>0.9</v>
      </c>
      <c r="H18" s="7">
        <v>46127.0</v>
      </c>
      <c r="I18" s="4">
        <v>31.245</v>
      </c>
    </row>
    <row r="19" ht="15.75" customHeight="1">
      <c r="B19" s="2" t="s">
        <v>34</v>
      </c>
      <c r="C19" s="1" t="s">
        <v>35</v>
      </c>
      <c r="D19" s="1">
        <v>1.3</v>
      </c>
      <c r="H19" s="7">
        <v>46128.0</v>
      </c>
      <c r="I19" s="4">
        <v>31.155</v>
      </c>
    </row>
    <row r="20" ht="15.75" customHeight="1">
      <c r="B20" s="2" t="s">
        <v>36</v>
      </c>
      <c r="C20" s="2" t="s">
        <v>37</v>
      </c>
      <c r="D20" s="10">
        <v>0.07</v>
      </c>
      <c r="H20" s="7">
        <v>46129.0</v>
      </c>
      <c r="I20" s="4">
        <v>31.18</v>
      </c>
    </row>
    <row r="21" ht="15.75" customHeight="1">
      <c r="B21" s="2" t="s">
        <v>38</v>
      </c>
      <c r="C21" s="2" t="s">
        <v>39</v>
      </c>
      <c r="D21" s="10">
        <v>0.05</v>
      </c>
      <c r="H21" s="7">
        <v>46132.0</v>
      </c>
      <c r="I21" s="4">
        <v>31.48</v>
      </c>
    </row>
    <row r="22" ht="15.75" customHeight="1">
      <c r="B22" s="2" t="s">
        <v>40</v>
      </c>
      <c r="C22" s="2" t="s">
        <v>41</v>
      </c>
      <c r="D22" s="10">
        <v>0.1</v>
      </c>
      <c r="E22" s="2" t="s">
        <v>42</v>
      </c>
      <c r="H22" s="7">
        <v>46133.0</v>
      </c>
      <c r="I22" s="4">
        <v>31.45</v>
      </c>
    </row>
    <row r="23" ht="15.75" customHeight="1">
      <c r="B23" s="2" t="s">
        <v>43</v>
      </c>
      <c r="C23" s="2" t="s">
        <v>44</v>
      </c>
      <c r="D23" s="10">
        <v>0.07</v>
      </c>
      <c r="E23" s="2" t="s">
        <v>42</v>
      </c>
      <c r="H23" s="7">
        <v>46134.0</v>
      </c>
      <c r="I23" s="4">
        <v>31.5</v>
      </c>
    </row>
    <row r="24" ht="15.75" customHeight="1">
      <c r="B24" s="2" t="s">
        <v>45</v>
      </c>
      <c r="C24" s="2" t="s">
        <v>46</v>
      </c>
      <c r="D24" s="10">
        <v>0.3</v>
      </c>
      <c r="H24" s="7">
        <v>46135.0</v>
      </c>
      <c r="I24" s="4">
        <v>31.58</v>
      </c>
    </row>
    <row r="25" ht="15.75" customHeight="1">
      <c r="B25" s="2" t="s">
        <v>47</v>
      </c>
      <c r="C25" s="2" t="s">
        <v>48</v>
      </c>
      <c r="D25" s="10">
        <v>0.3</v>
      </c>
      <c r="H25" s="7">
        <v>46136.0</v>
      </c>
      <c r="I25" s="4">
        <v>31.5</v>
      </c>
    </row>
    <row r="26" ht="15.75" customHeight="1">
      <c r="B26" s="2" t="s">
        <v>49</v>
      </c>
      <c r="C26" s="2" t="s">
        <v>50</v>
      </c>
      <c r="D26" s="10">
        <v>0.05</v>
      </c>
      <c r="E26" s="2" t="s">
        <v>51</v>
      </c>
      <c r="H26" s="7">
        <v>46139.0</v>
      </c>
      <c r="I26" s="4">
        <v>31.48</v>
      </c>
    </row>
    <row r="27" ht="15.75" customHeight="1">
      <c r="D27" s="10"/>
      <c r="H27" s="7">
        <v>46140.0</v>
      </c>
      <c r="I27" s="4">
        <v>31.57</v>
      </c>
    </row>
    <row r="28" ht="15.75" customHeight="1">
      <c r="D28" s="10"/>
      <c r="H28" s="7">
        <v>46141.0</v>
      </c>
      <c r="I28" s="4">
        <v>31.46</v>
      </c>
    </row>
    <row r="29" ht="15.75" customHeight="1">
      <c r="D29" s="10"/>
      <c r="H29" s="7">
        <v>46142.0</v>
      </c>
      <c r="I29" s="4">
        <v>31.68</v>
      </c>
    </row>
    <row r="30" ht="15.75" customHeight="1">
      <c r="D30" s="10"/>
      <c r="H30" s="7">
        <v>46146.0</v>
      </c>
      <c r="I30" s="4">
        <v>31.64</v>
      </c>
    </row>
    <row r="31" ht="15.75" customHeight="1">
      <c r="D31" s="10"/>
      <c r="H31" s="7">
        <v>46147.0</v>
      </c>
      <c r="I31" s="4">
        <v>31.61</v>
      </c>
    </row>
    <row r="32" ht="15.75" customHeight="1">
      <c r="H32" s="7">
        <v>46148.0</v>
      </c>
      <c r="I32" s="4">
        <v>31.48</v>
      </c>
    </row>
    <row r="33" ht="15.75" customHeight="1">
      <c r="H33" s="7">
        <v>46149.0</v>
      </c>
      <c r="I33" s="4">
        <v>31.4</v>
      </c>
    </row>
    <row r="34" ht="15.75" customHeight="1">
      <c r="H34" s="7">
        <v>46150.0</v>
      </c>
      <c r="I34" s="4">
        <v>31.43</v>
      </c>
    </row>
    <row r="35" ht="15.75" customHeight="1">
      <c r="H35" s="7">
        <v>46153.0</v>
      </c>
      <c r="I35" s="4">
        <v>31.41</v>
      </c>
    </row>
    <row r="36" ht="15.75" customHeight="1">
      <c r="H36" s="7">
        <v>46154.0</v>
      </c>
      <c r="I36" s="4">
        <v>31.5</v>
      </c>
    </row>
    <row r="37" ht="15.75" customHeight="1">
      <c r="H37" s="7">
        <v>46155.0</v>
      </c>
      <c r="I37" s="4">
        <v>31.55</v>
      </c>
    </row>
    <row r="38" ht="15.75" customHeight="1">
      <c r="H38" s="7">
        <v>46156.0</v>
      </c>
      <c r="I38" s="4">
        <v>31.51</v>
      </c>
    </row>
    <row r="39" ht="15.75" customHeight="1">
      <c r="H39" s="7">
        <v>46157.0</v>
      </c>
      <c r="I39" s="4">
        <v>31.54</v>
      </c>
    </row>
    <row r="40" ht="15.75" customHeight="1">
      <c r="H40" s="7">
        <v>46160.0</v>
      </c>
      <c r="I40" s="4">
        <v>31.54</v>
      </c>
    </row>
    <row r="41" ht="15.75" customHeight="1">
      <c r="H41" s="7">
        <v>46161.0</v>
      </c>
      <c r="I41" s="4">
        <v>31.65</v>
      </c>
    </row>
    <row r="42" ht="15.75" customHeight="1">
      <c r="H42" s="7">
        <v>46162.0</v>
      </c>
      <c r="I42" s="4">
        <v>31.65</v>
      </c>
    </row>
    <row r="43" ht="15.75" customHeight="1">
      <c r="H43" s="7">
        <v>46163.0</v>
      </c>
      <c r="I43" s="4">
        <v>31.65</v>
      </c>
    </row>
    <row r="44" ht="15.75" customHeight="1">
      <c r="H44" s="7">
        <v>46164.0</v>
      </c>
      <c r="I44" s="4">
        <v>31.55</v>
      </c>
    </row>
    <row r="45" ht="15.75" customHeight="1">
      <c r="H45" s="7">
        <v>46167.0</v>
      </c>
      <c r="I45" s="4">
        <v>31.55</v>
      </c>
    </row>
    <row r="46" ht="15.75" customHeight="1">
      <c r="H46" s="7">
        <v>46168.0</v>
      </c>
      <c r="I46" s="4">
        <v>31.51</v>
      </c>
    </row>
    <row r="47" ht="15.75" customHeight="1">
      <c r="H47" s="7">
        <v>46169.0</v>
      </c>
    </row>
    <row r="48" ht="15.75" customHeight="1">
      <c r="H48" s="7">
        <v>46170.0</v>
      </c>
    </row>
    <row r="49" ht="15.75" customHeight="1">
      <c r="H49" s="7">
        <v>46171.0</v>
      </c>
    </row>
    <row r="50" ht="15.75" customHeight="1">
      <c r="H50" s="7"/>
    </row>
    <row r="51" ht="15.75" customHeight="1">
      <c r="H51" s="7"/>
    </row>
    <row r="52" ht="15.75" customHeight="1">
      <c r="H52" s="7"/>
    </row>
    <row r="53" ht="15.75" customHeight="1">
      <c r="H53" s="7"/>
    </row>
    <row r="54" ht="15.75" customHeight="1">
      <c r="H54" s="7"/>
    </row>
    <row r="55" ht="15.75" customHeight="1">
      <c r="H55" s="7"/>
    </row>
    <row r="56" ht="15.75" customHeight="1">
      <c r="H56" s="7"/>
    </row>
    <row r="57" ht="15.75" customHeight="1">
      <c r="H57" s="7"/>
    </row>
    <row r="58" ht="15.75" customHeight="1">
      <c r="H58" s="7"/>
    </row>
    <row r="59" ht="15.75" customHeight="1">
      <c r="H59" s="7"/>
    </row>
    <row r="60" ht="15.75" customHeight="1">
      <c r="H60" s="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3"/>
    <mergeCell ref="A4:A15"/>
    <mergeCell ref="A18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71"/>
    <col customWidth="1" min="3" max="3" width="9.43"/>
    <col customWidth="1" min="4" max="4" width="9.86"/>
    <col customWidth="1" min="5" max="5" width="11.0"/>
    <col customWidth="1" min="6" max="6" width="10.86"/>
    <col customWidth="1" min="7" max="7" width="8.14"/>
    <col customWidth="1" min="8" max="8" width="11.57"/>
    <col customWidth="1" min="9" max="9" width="16.0"/>
    <col customWidth="1" min="10" max="10" width="11.14"/>
    <col customWidth="1" min="11" max="11" width="11.57"/>
    <col customWidth="1" min="12" max="12" width="10.29"/>
    <col customWidth="1" min="13" max="13" width="9.14"/>
    <col customWidth="1" min="14" max="14" width="38.71"/>
    <col customWidth="1" min="15" max="26" width="8.71"/>
  </cols>
  <sheetData>
    <row r="1" ht="15.75" customHeight="1">
      <c r="A1" s="3" t="s">
        <v>52</v>
      </c>
      <c r="B1" s="2" t="s">
        <v>53</v>
      </c>
      <c r="C1" s="2" t="s">
        <v>54</v>
      </c>
      <c r="D1" s="2" t="s">
        <v>55</v>
      </c>
      <c r="E1" s="11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1</v>
      </c>
    </row>
    <row r="2" ht="15.75" customHeight="1">
      <c r="A2" s="8"/>
    </row>
    <row r="3" ht="15.75" customHeight="1">
      <c r="A3" s="8" t="s">
        <v>65</v>
      </c>
      <c r="B3" s="2" t="s">
        <v>66</v>
      </c>
      <c r="C3" s="2">
        <v>1.0</v>
      </c>
      <c r="D3" s="2">
        <v>1.0</v>
      </c>
      <c r="E3" s="2">
        <v>0.002</v>
      </c>
      <c r="F3" s="4">
        <v>1.0</v>
      </c>
      <c r="G3" s="2">
        <v>0.0</v>
      </c>
      <c r="M3" s="2" t="s">
        <v>67</v>
      </c>
      <c r="N3" s="4" t="s">
        <v>68</v>
      </c>
      <c r="O3" s="4" t="s">
        <v>69</v>
      </c>
    </row>
    <row r="4" ht="15.75" customHeight="1">
      <c r="A4" s="12">
        <v>2454.0</v>
      </c>
      <c r="B4" s="4" t="s">
        <v>66</v>
      </c>
      <c r="C4" s="4">
        <v>1.0</v>
      </c>
      <c r="E4" s="13">
        <v>3.99E-4</v>
      </c>
      <c r="G4" s="4">
        <v>0.003</v>
      </c>
      <c r="M4" s="4" t="s">
        <v>70</v>
      </c>
      <c r="N4" s="4" t="s">
        <v>71</v>
      </c>
      <c r="O4" s="4" t="s">
        <v>72</v>
      </c>
    </row>
    <row r="5" ht="15.75" customHeight="1">
      <c r="A5" s="12">
        <v>2449.0</v>
      </c>
      <c r="B5" s="4" t="s">
        <v>66</v>
      </c>
      <c r="C5" s="4">
        <v>1.0</v>
      </c>
      <c r="D5" s="4"/>
      <c r="E5" s="13">
        <v>3.99E-4</v>
      </c>
      <c r="F5" s="4"/>
      <c r="G5" s="4">
        <v>0.003</v>
      </c>
      <c r="M5" s="4" t="s">
        <v>70</v>
      </c>
      <c r="N5" s="4" t="s">
        <v>73</v>
      </c>
    </row>
    <row r="6" ht="15.75" customHeight="1">
      <c r="A6" s="12">
        <v>8064.0</v>
      </c>
      <c r="B6" s="4" t="s">
        <v>66</v>
      </c>
      <c r="C6" s="4">
        <v>1.0</v>
      </c>
      <c r="D6" s="4"/>
      <c r="E6" s="13">
        <v>3.99E-4</v>
      </c>
      <c r="F6" s="4"/>
      <c r="G6" s="4">
        <v>0.003</v>
      </c>
      <c r="M6" s="4" t="s">
        <v>70</v>
      </c>
      <c r="N6" s="4" t="s">
        <v>74</v>
      </c>
    </row>
    <row r="7" ht="15.75" customHeight="1">
      <c r="A7" s="12">
        <v>8086.0</v>
      </c>
      <c r="B7" s="4" t="s">
        <v>66</v>
      </c>
      <c r="C7" s="4">
        <v>1.0</v>
      </c>
      <c r="D7" s="4"/>
      <c r="E7" s="13">
        <v>3.99E-4</v>
      </c>
      <c r="F7" s="4"/>
      <c r="G7" s="4">
        <v>0.003</v>
      </c>
      <c r="M7" s="4" t="s">
        <v>70</v>
      </c>
      <c r="N7" s="4" t="s">
        <v>75</v>
      </c>
    </row>
    <row r="8" ht="15.75" customHeight="1">
      <c r="A8" s="12">
        <v>3711.0</v>
      </c>
      <c r="B8" s="4" t="s">
        <v>66</v>
      </c>
      <c r="C8" s="4">
        <v>1.0</v>
      </c>
      <c r="D8" s="4"/>
      <c r="E8" s="13">
        <v>3.99E-4</v>
      </c>
      <c r="F8" s="4"/>
      <c r="G8" s="4">
        <v>0.003</v>
      </c>
      <c r="M8" s="4" t="s">
        <v>70</v>
      </c>
      <c r="N8" s="4" t="s">
        <v>76</v>
      </c>
    </row>
    <row r="9" ht="15.75" customHeight="1">
      <c r="A9" s="12">
        <v>1582.0</v>
      </c>
      <c r="B9" s="4" t="s">
        <v>66</v>
      </c>
      <c r="C9" s="4">
        <v>1.0</v>
      </c>
      <c r="D9" s="4"/>
      <c r="E9" s="13">
        <v>3.99E-4</v>
      </c>
      <c r="F9" s="4"/>
      <c r="G9" s="4">
        <v>0.003</v>
      </c>
      <c r="M9" s="4" t="s">
        <v>70</v>
      </c>
      <c r="N9" s="4" t="s">
        <v>77</v>
      </c>
    </row>
    <row r="10" ht="15.75" customHeight="1">
      <c r="A10" s="12">
        <v>3450.0</v>
      </c>
      <c r="B10" s="4" t="s">
        <v>66</v>
      </c>
      <c r="C10" s="4">
        <v>1.0</v>
      </c>
      <c r="D10" s="4"/>
      <c r="E10" s="13">
        <v>3.99E-4</v>
      </c>
      <c r="F10" s="4"/>
      <c r="G10" s="4">
        <v>0.003</v>
      </c>
      <c r="M10" s="4" t="s">
        <v>70</v>
      </c>
      <c r="N10" s="4" t="s">
        <v>78</v>
      </c>
    </row>
    <row r="11" ht="15.75" customHeight="1">
      <c r="A11" s="12">
        <v>4916.0</v>
      </c>
      <c r="B11" s="4" t="s">
        <v>66</v>
      </c>
      <c r="C11" s="4">
        <v>1.0</v>
      </c>
      <c r="D11" s="4"/>
      <c r="E11" s="13">
        <v>3.99E-4</v>
      </c>
      <c r="F11" s="4"/>
      <c r="G11" s="4">
        <v>0.003</v>
      </c>
      <c r="M11" s="4" t="s">
        <v>70</v>
      </c>
      <c r="N11" s="4" t="s">
        <v>79</v>
      </c>
    </row>
    <row r="12" ht="15.75" customHeight="1">
      <c r="A12" s="12">
        <v>2049.0</v>
      </c>
      <c r="B12" s="4" t="s">
        <v>66</v>
      </c>
      <c r="C12" s="4">
        <v>1.0</v>
      </c>
      <c r="D12" s="4"/>
      <c r="E12" s="13">
        <v>3.99E-4</v>
      </c>
      <c r="F12" s="4"/>
      <c r="G12" s="4">
        <v>0.003</v>
      </c>
      <c r="M12" s="4" t="s">
        <v>70</v>
      </c>
      <c r="N12" s="4" t="s">
        <v>80</v>
      </c>
    </row>
    <row r="13" ht="15.75" customHeight="1">
      <c r="A13" s="12">
        <v>3035.0</v>
      </c>
      <c r="B13" s="4" t="s">
        <v>66</v>
      </c>
      <c r="C13" s="4">
        <v>1.0</v>
      </c>
      <c r="D13" s="4"/>
      <c r="E13" s="13">
        <v>3.99E-4</v>
      </c>
      <c r="F13" s="4"/>
      <c r="G13" s="4">
        <v>0.003</v>
      </c>
      <c r="M13" s="4" t="s">
        <v>70</v>
      </c>
      <c r="N13" s="4" t="s">
        <v>81</v>
      </c>
    </row>
    <row r="14" ht="15.75" customHeight="1">
      <c r="A14" s="12">
        <v>3406.0</v>
      </c>
      <c r="B14" s="4" t="s">
        <v>66</v>
      </c>
      <c r="C14" s="4">
        <v>1.0</v>
      </c>
      <c r="E14" s="4">
        <v>3.99E-4</v>
      </c>
      <c r="G14" s="4">
        <v>0.003</v>
      </c>
      <c r="M14" s="4" t="s">
        <v>70</v>
      </c>
      <c r="N14" s="4" t="s">
        <v>82</v>
      </c>
    </row>
    <row r="15" ht="15.75" customHeight="1">
      <c r="A15" s="12" t="s">
        <v>83</v>
      </c>
      <c r="B15" s="4" t="s">
        <v>66</v>
      </c>
      <c r="C15" s="4">
        <v>1.0</v>
      </c>
      <c r="E15" s="4">
        <v>5.1E-5</v>
      </c>
      <c r="G15" s="4">
        <v>0.0</v>
      </c>
      <c r="M15" s="4" t="s">
        <v>67</v>
      </c>
      <c r="N15" s="4" t="s">
        <v>84</v>
      </c>
    </row>
    <row r="16" ht="15.75" customHeight="1">
      <c r="A16" s="12" t="s">
        <v>85</v>
      </c>
      <c r="B16" s="4" t="s">
        <v>66</v>
      </c>
      <c r="C16" s="4">
        <v>1.0</v>
      </c>
      <c r="D16" s="4"/>
      <c r="E16" s="4">
        <v>5.3E-5</v>
      </c>
      <c r="G16" s="4">
        <v>0.0</v>
      </c>
      <c r="M16" s="4" t="s">
        <v>67</v>
      </c>
      <c r="N16" s="14" t="s">
        <v>86</v>
      </c>
    </row>
    <row r="17" ht="15.75" customHeight="1">
      <c r="A17" s="12" t="s">
        <v>87</v>
      </c>
      <c r="B17" s="4" t="s">
        <v>66</v>
      </c>
      <c r="C17" s="4">
        <v>1.0</v>
      </c>
      <c r="D17" s="4"/>
      <c r="E17" s="4">
        <v>8.4E-5</v>
      </c>
      <c r="G17" s="4">
        <v>0.0</v>
      </c>
      <c r="M17" s="4" t="s">
        <v>67</v>
      </c>
      <c r="N17" s="4" t="s">
        <v>88</v>
      </c>
    </row>
    <row r="18" ht="15.75" customHeight="1">
      <c r="A18" s="12" t="s">
        <v>89</v>
      </c>
      <c r="B18" s="4" t="s">
        <v>66</v>
      </c>
      <c r="C18" s="4">
        <v>1.0</v>
      </c>
      <c r="D18" s="4"/>
      <c r="E18" s="4">
        <v>4.8E-5</v>
      </c>
      <c r="G18" s="4">
        <v>0.0</v>
      </c>
      <c r="M18" s="4" t="s">
        <v>67</v>
      </c>
      <c r="N18" s="15" t="s">
        <v>90</v>
      </c>
    </row>
    <row r="19" ht="15.75" customHeight="1">
      <c r="A19" s="12" t="s">
        <v>91</v>
      </c>
      <c r="B19" s="4" t="s">
        <v>66</v>
      </c>
      <c r="C19" s="4">
        <v>1.0</v>
      </c>
      <c r="D19" s="4"/>
      <c r="E19" s="4">
        <v>1.9E-5</v>
      </c>
      <c r="G19" s="4">
        <v>0.0</v>
      </c>
      <c r="M19" s="4" t="s">
        <v>67</v>
      </c>
      <c r="N19" s="4" t="s">
        <v>92</v>
      </c>
    </row>
    <row r="20" ht="15.75" customHeight="1">
      <c r="A20" s="12" t="s">
        <v>93</v>
      </c>
      <c r="B20" s="4" t="s">
        <v>66</v>
      </c>
      <c r="C20" s="4">
        <v>1.0</v>
      </c>
      <c r="D20" s="4"/>
      <c r="E20" s="4">
        <v>8.0E-5</v>
      </c>
      <c r="G20" s="4">
        <v>0.0</v>
      </c>
      <c r="M20" s="4" t="s">
        <v>67</v>
      </c>
      <c r="N20" s="4" t="s">
        <v>94</v>
      </c>
    </row>
    <row r="21" ht="15.75" customHeight="1">
      <c r="A21" s="12" t="s">
        <v>95</v>
      </c>
      <c r="B21" s="4" t="s">
        <v>66</v>
      </c>
      <c r="C21" s="4">
        <v>1.0</v>
      </c>
      <c r="D21" s="4"/>
      <c r="E21" s="4">
        <v>1.0E-5</v>
      </c>
      <c r="G21" s="4">
        <v>0.0</v>
      </c>
      <c r="M21" s="4" t="s">
        <v>67</v>
      </c>
      <c r="N21" s="4" t="s">
        <v>96</v>
      </c>
    </row>
    <row r="22" ht="15.75" customHeight="1">
      <c r="A22" s="12" t="s">
        <v>97</v>
      </c>
      <c r="B22" s="4" t="s">
        <v>66</v>
      </c>
      <c r="C22" s="4">
        <v>1.0</v>
      </c>
      <c r="D22" s="4"/>
      <c r="E22" s="4">
        <v>4.2E-5</v>
      </c>
      <c r="G22" s="4">
        <v>0.0</v>
      </c>
      <c r="M22" s="4" t="s">
        <v>67</v>
      </c>
      <c r="N22" s="4" t="s">
        <v>98</v>
      </c>
    </row>
    <row r="23" ht="15.75" customHeight="1">
      <c r="A23" s="12" t="s">
        <v>99</v>
      </c>
      <c r="B23" s="4" t="s">
        <v>66</v>
      </c>
      <c r="C23" s="4">
        <v>1.0</v>
      </c>
      <c r="D23" s="4"/>
      <c r="E23" s="4">
        <v>1.77E-4</v>
      </c>
      <c r="G23" s="4">
        <v>0.0</v>
      </c>
      <c r="M23" s="4" t="s">
        <v>67</v>
      </c>
      <c r="N23" s="4" t="s">
        <v>100</v>
      </c>
    </row>
    <row r="24" ht="15.75" customHeight="1">
      <c r="A24" s="12" t="s">
        <v>101</v>
      </c>
      <c r="B24" s="4" t="s">
        <v>66</v>
      </c>
      <c r="C24" s="4">
        <v>1.0</v>
      </c>
      <c r="D24" s="4"/>
      <c r="E24" s="4">
        <v>4.8E-5</v>
      </c>
      <c r="G24" s="4">
        <v>0.0</v>
      </c>
      <c r="M24" s="4" t="s">
        <v>67</v>
      </c>
      <c r="N24" s="4" t="s">
        <v>102</v>
      </c>
    </row>
    <row r="25" ht="15.75" customHeight="1">
      <c r="A25" s="12" t="s">
        <v>103</v>
      </c>
      <c r="B25" s="4" t="s">
        <v>66</v>
      </c>
      <c r="C25" s="4">
        <v>1.0</v>
      </c>
      <c r="D25" s="4"/>
      <c r="E25" s="4">
        <v>9.3E-5</v>
      </c>
      <c r="G25" s="4">
        <v>0.0</v>
      </c>
      <c r="M25" s="4" t="s">
        <v>67</v>
      </c>
      <c r="N25" s="4" t="s">
        <v>104</v>
      </c>
    </row>
    <row r="26" ht="15.75" customHeight="1">
      <c r="A26" s="12" t="s">
        <v>105</v>
      </c>
      <c r="B26" s="4" t="s">
        <v>66</v>
      </c>
      <c r="C26" s="4">
        <v>1.0</v>
      </c>
      <c r="D26" s="4"/>
      <c r="E26" s="4">
        <v>6.6E-5</v>
      </c>
      <c r="G26" s="4">
        <v>0.0</v>
      </c>
      <c r="M26" s="4" t="s">
        <v>67</v>
      </c>
      <c r="N26" s="4" t="s">
        <v>106</v>
      </c>
    </row>
    <row r="27" ht="15.75" customHeight="1">
      <c r="A27" s="12" t="s">
        <v>107</v>
      </c>
      <c r="B27" s="4" t="s">
        <v>66</v>
      </c>
      <c r="C27" s="4">
        <v>1.0</v>
      </c>
      <c r="D27" s="4"/>
      <c r="E27" s="4">
        <v>3.2E-5</v>
      </c>
      <c r="G27" s="4">
        <v>0.0</v>
      </c>
      <c r="M27" s="4" t="s">
        <v>67</v>
      </c>
      <c r="N27" s="4" t="s">
        <v>108</v>
      </c>
    </row>
    <row r="28" ht="15.75" customHeight="1">
      <c r="A28" s="12" t="s">
        <v>109</v>
      </c>
      <c r="B28" s="4" t="s">
        <v>66</v>
      </c>
      <c r="C28" s="4">
        <v>1.0</v>
      </c>
      <c r="D28" s="4"/>
      <c r="E28" s="4">
        <v>2.66E-4</v>
      </c>
      <c r="G28" s="4">
        <v>0.0</v>
      </c>
      <c r="M28" s="4" t="s">
        <v>67</v>
      </c>
      <c r="N28" s="4" t="s">
        <v>110</v>
      </c>
    </row>
    <row r="29" ht="15.75" customHeight="1">
      <c r="A29" s="12" t="s">
        <v>111</v>
      </c>
      <c r="B29" s="4" t="s">
        <v>66</v>
      </c>
      <c r="C29" s="4">
        <v>1.0</v>
      </c>
      <c r="D29" s="4"/>
      <c r="E29" s="4">
        <v>2.4E-5</v>
      </c>
      <c r="G29" s="4">
        <v>0.0</v>
      </c>
      <c r="M29" s="4" t="s">
        <v>67</v>
      </c>
      <c r="N29" s="4" t="s">
        <v>112</v>
      </c>
    </row>
    <row r="30" ht="15.75" customHeight="1">
      <c r="A30" s="12" t="s">
        <v>113</v>
      </c>
      <c r="B30" s="4" t="s">
        <v>66</v>
      </c>
      <c r="C30" s="4">
        <v>1.0</v>
      </c>
      <c r="D30" s="4"/>
      <c r="E30" s="4">
        <v>1.0E-5</v>
      </c>
      <c r="G30" s="4">
        <v>0.0</v>
      </c>
      <c r="M30" s="4" t="s">
        <v>67</v>
      </c>
      <c r="N30" s="4" t="s">
        <v>114</v>
      </c>
    </row>
    <row r="31" ht="15.75" customHeight="1">
      <c r="A31" s="12" t="s">
        <v>115</v>
      </c>
      <c r="B31" s="4" t="s">
        <v>66</v>
      </c>
      <c r="C31" s="4">
        <v>1.0</v>
      </c>
      <c r="D31" s="4"/>
      <c r="E31" s="4">
        <v>4.7E-5</v>
      </c>
      <c r="G31" s="4">
        <v>0.0</v>
      </c>
      <c r="M31" s="4" t="s">
        <v>67</v>
      </c>
      <c r="N31" s="4" t="s">
        <v>116</v>
      </c>
    </row>
    <row r="32" ht="15.75" customHeight="1">
      <c r="A32" s="12" t="s">
        <v>117</v>
      </c>
      <c r="B32" s="4" t="s">
        <v>66</v>
      </c>
      <c r="C32" s="4">
        <v>1.0</v>
      </c>
      <c r="D32" s="4"/>
      <c r="E32" s="4">
        <v>2.56E-4</v>
      </c>
      <c r="G32" s="4">
        <v>0.0</v>
      </c>
      <c r="M32" s="4" t="s">
        <v>67</v>
      </c>
      <c r="N32" s="4" t="s">
        <v>118</v>
      </c>
    </row>
    <row r="33" ht="15.75" customHeight="1">
      <c r="A33" s="12" t="s">
        <v>119</v>
      </c>
      <c r="B33" s="4" t="s">
        <v>66</v>
      </c>
      <c r="C33" s="4">
        <v>1.0</v>
      </c>
      <c r="D33" s="4"/>
      <c r="E33" s="4">
        <v>2.7E-5</v>
      </c>
      <c r="G33" s="4">
        <v>0.0</v>
      </c>
      <c r="M33" s="4" t="s">
        <v>67</v>
      </c>
      <c r="N33" s="4" t="s">
        <v>120</v>
      </c>
    </row>
    <row r="34" ht="15.75" customHeight="1">
      <c r="A34" s="12" t="s">
        <v>121</v>
      </c>
      <c r="B34" s="4" t="s">
        <v>66</v>
      </c>
      <c r="C34" s="4">
        <v>1.0</v>
      </c>
      <c r="D34" s="4"/>
      <c r="E34" s="4">
        <v>7.95E-4</v>
      </c>
      <c r="G34" s="4">
        <v>0.0</v>
      </c>
      <c r="M34" s="4" t="s">
        <v>67</v>
      </c>
      <c r="N34" s="4" t="s">
        <v>122</v>
      </c>
    </row>
    <row r="35" ht="15.75" customHeight="1">
      <c r="A35" s="12" t="s">
        <v>123</v>
      </c>
      <c r="B35" s="4" t="s">
        <v>66</v>
      </c>
      <c r="C35" s="4">
        <v>1.0</v>
      </c>
      <c r="D35" s="4"/>
      <c r="E35" s="4">
        <v>4.0E-5</v>
      </c>
      <c r="G35" s="4">
        <v>0.0</v>
      </c>
      <c r="M35" s="4" t="s">
        <v>67</v>
      </c>
      <c r="N35" s="4" t="s">
        <v>124</v>
      </c>
    </row>
    <row r="36" ht="15.75" customHeight="1">
      <c r="A36" s="12" t="s">
        <v>125</v>
      </c>
      <c r="B36" s="4" t="s">
        <v>66</v>
      </c>
      <c r="C36" s="4">
        <v>1.0</v>
      </c>
      <c r="D36" s="4"/>
      <c r="E36" s="4">
        <v>1.81E-4</v>
      </c>
      <c r="G36" s="4">
        <v>0.0</v>
      </c>
      <c r="M36" s="4" t="s">
        <v>67</v>
      </c>
      <c r="N36" s="4" t="s">
        <v>126</v>
      </c>
    </row>
    <row r="37" ht="15.75" customHeight="1">
      <c r="A37" s="12" t="s">
        <v>127</v>
      </c>
      <c r="B37" s="4" t="s">
        <v>66</v>
      </c>
      <c r="C37" s="4">
        <v>1.0</v>
      </c>
      <c r="D37" s="4"/>
      <c r="E37" s="4">
        <v>3.36E-4</v>
      </c>
      <c r="G37" s="4">
        <v>0.0</v>
      </c>
      <c r="M37" s="4" t="s">
        <v>67</v>
      </c>
      <c r="N37" s="4"/>
    </row>
    <row r="38" ht="15.75" customHeight="1">
      <c r="A38" s="12" t="s">
        <v>128</v>
      </c>
      <c r="B38" s="4" t="s">
        <v>66</v>
      </c>
      <c r="C38" s="4">
        <v>1.0</v>
      </c>
      <c r="D38" s="4"/>
      <c r="E38" s="4">
        <v>8.7E-5</v>
      </c>
      <c r="G38" s="4">
        <v>0.0</v>
      </c>
      <c r="M38" s="4" t="s">
        <v>67</v>
      </c>
      <c r="N38" s="4" t="s">
        <v>129</v>
      </c>
    </row>
    <row r="39" ht="15.75" customHeight="1">
      <c r="A39" s="8" t="s">
        <v>130</v>
      </c>
      <c r="B39" s="2" t="s">
        <v>131</v>
      </c>
      <c r="C39" s="2">
        <v>1.0</v>
      </c>
      <c r="F39" s="2">
        <v>0.0</v>
      </c>
      <c r="G39" s="2">
        <v>0.0</v>
      </c>
      <c r="M39" s="4" t="s">
        <v>67</v>
      </c>
    </row>
    <row r="40" ht="15.75" customHeight="1">
      <c r="A40" s="1" t="s">
        <v>132</v>
      </c>
      <c r="B40" s="2" t="s">
        <v>131</v>
      </c>
      <c r="C40" s="2">
        <v>1.0</v>
      </c>
      <c r="E40" s="2">
        <v>0.002</v>
      </c>
      <c r="N40" s="2" t="s">
        <v>133</v>
      </c>
    </row>
    <row r="41" ht="15.75" customHeight="1">
      <c r="B41" s="2" t="s">
        <v>134</v>
      </c>
      <c r="C41" s="2">
        <v>200.0</v>
      </c>
      <c r="D41" s="2">
        <v>200.0</v>
      </c>
      <c r="F41" s="2">
        <v>50.0</v>
      </c>
      <c r="G41" s="2">
        <v>2.0E-5</v>
      </c>
      <c r="I41" s="2">
        <v>230000.0</v>
      </c>
      <c r="M41" s="2" t="s">
        <v>135</v>
      </c>
    </row>
    <row r="42" ht="15.75" customHeight="1">
      <c r="A42" s="1" t="s">
        <v>136</v>
      </c>
      <c r="B42" s="2" t="s">
        <v>134</v>
      </c>
      <c r="C42" s="2">
        <v>20.0</v>
      </c>
      <c r="D42" s="2">
        <v>10.0</v>
      </c>
      <c r="F42" s="2">
        <v>100.0</v>
      </c>
      <c r="G42" s="2">
        <v>0.0</v>
      </c>
      <c r="I42" s="2">
        <v>300000.0</v>
      </c>
      <c r="M42" s="2" t="s">
        <v>137</v>
      </c>
      <c r="N42" s="2" t="s">
        <v>138</v>
      </c>
    </row>
    <row r="43" ht="15.75" customHeight="1">
      <c r="A43" s="9" t="s">
        <v>139</v>
      </c>
      <c r="B43" s="4" t="s">
        <v>134</v>
      </c>
      <c r="C43" s="4">
        <v>25.0</v>
      </c>
      <c r="D43" s="4">
        <v>0.25</v>
      </c>
      <c r="F43" s="4">
        <v>3.37</v>
      </c>
      <c r="G43" s="4">
        <v>0.0</v>
      </c>
      <c r="H43" s="4"/>
      <c r="I43" s="4">
        <v>4000.0</v>
      </c>
      <c r="M43" s="4" t="s">
        <v>137</v>
      </c>
    </row>
    <row r="44" ht="15.75" customHeight="1">
      <c r="A44" s="9" t="s">
        <v>140</v>
      </c>
      <c r="B44" s="4" t="s">
        <v>134</v>
      </c>
      <c r="C44" s="16">
        <v>100.0</v>
      </c>
      <c r="D44" s="4">
        <v>0.1</v>
      </c>
      <c r="F44" s="4">
        <v>3.37</v>
      </c>
      <c r="G44" s="4">
        <v>0.0</v>
      </c>
      <c r="H44" s="4"/>
      <c r="I44" s="17">
        <v>32025.0</v>
      </c>
      <c r="M44" s="4" t="s">
        <v>137</v>
      </c>
    </row>
    <row r="45" ht="15.75" customHeight="1">
      <c r="A45" s="18" t="s">
        <v>141</v>
      </c>
      <c r="B45" s="4" t="s">
        <v>134</v>
      </c>
      <c r="C45" s="19">
        <v>25000.0</v>
      </c>
      <c r="D45" s="4">
        <v>12.5</v>
      </c>
      <c r="E45" s="20">
        <v>5.85E-6</v>
      </c>
      <c r="F45" s="20"/>
      <c r="G45" s="4">
        <v>0.0</v>
      </c>
      <c r="H45" s="4"/>
      <c r="I45" s="4">
        <v>12000.0</v>
      </c>
      <c r="M45" s="4" t="s">
        <v>137</v>
      </c>
      <c r="N45" s="20" t="s">
        <v>142</v>
      </c>
    </row>
    <row r="46" ht="15.75" customHeight="1">
      <c r="A46" s="1" t="s">
        <v>143</v>
      </c>
      <c r="B46" s="2" t="s">
        <v>144</v>
      </c>
      <c r="C46" s="2">
        <v>50.0</v>
      </c>
      <c r="D46" s="2">
        <v>50.0</v>
      </c>
      <c r="F46" s="2">
        <v>50.0</v>
      </c>
      <c r="G46" s="2">
        <v>0.001</v>
      </c>
      <c r="I46" s="2">
        <v>50000.0</v>
      </c>
      <c r="J46" s="2">
        <v>16000.0</v>
      </c>
      <c r="K46" s="2" t="s">
        <v>145</v>
      </c>
      <c r="L46" s="2" t="s">
        <v>146</v>
      </c>
      <c r="M46" s="2" t="s">
        <v>135</v>
      </c>
    </row>
    <row r="47" ht="15.75" customHeight="1">
      <c r="A47" s="1" t="s">
        <v>147</v>
      </c>
      <c r="B47" s="2" t="s">
        <v>144</v>
      </c>
      <c r="C47" s="2">
        <v>100.0</v>
      </c>
      <c r="D47" s="2">
        <v>50.0</v>
      </c>
      <c r="E47" s="2">
        <v>0.0</v>
      </c>
      <c r="F47" s="2">
        <v>30.0</v>
      </c>
      <c r="G47" s="2">
        <v>0.0</v>
      </c>
      <c r="I47" s="2">
        <v>0.0</v>
      </c>
      <c r="J47" s="2">
        <v>180.0</v>
      </c>
      <c r="K47" s="2" t="s">
        <v>148</v>
      </c>
      <c r="L47" s="2" t="s">
        <v>146</v>
      </c>
      <c r="M47" s="2" t="s">
        <v>149</v>
      </c>
    </row>
    <row r="48" ht="13.5" customHeight="1">
      <c r="A48" s="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8.71"/>
    <col customWidth="1" min="5" max="5" width="16.14"/>
    <col customWidth="1" min="6" max="8" width="8.71"/>
    <col customWidth="1" min="9" max="9" width="12.71"/>
    <col customWidth="1" min="10" max="11" width="8.71"/>
    <col customWidth="1" min="12" max="12" width="16.14"/>
    <col customWidth="1" min="13" max="13" width="12.29"/>
    <col customWidth="1" min="14" max="25" width="8.71"/>
  </cols>
  <sheetData>
    <row r="1" ht="15.75" customHeight="1">
      <c r="A1" s="3" t="s">
        <v>150</v>
      </c>
      <c r="B1" s="21" t="s">
        <v>151</v>
      </c>
      <c r="C1" s="4" t="s">
        <v>70</v>
      </c>
      <c r="D1" s="4" t="s">
        <v>152</v>
      </c>
      <c r="G1" s="22"/>
      <c r="H1" s="22"/>
      <c r="I1" s="23"/>
    </row>
    <row r="2" ht="15.75" customHeight="1">
      <c r="A2" s="24">
        <v>46104.0</v>
      </c>
      <c r="B2" s="16">
        <v>100.0</v>
      </c>
      <c r="C2" s="25">
        <v>32722.5</v>
      </c>
      <c r="D2" s="4">
        <v>6581.0</v>
      </c>
      <c r="E2" s="16">
        <v>100.0</v>
      </c>
      <c r="F2" s="16">
        <v>100.0</v>
      </c>
    </row>
    <row r="3" ht="15.75" customHeight="1">
      <c r="A3" s="24">
        <v>46105.0</v>
      </c>
      <c r="B3" s="21">
        <f t="shared" ref="B3:B47" si="2">(1+(E3+F3)/2)*B2</f>
        <v>99.64439304</v>
      </c>
      <c r="C3" s="25">
        <v>32612.24</v>
      </c>
      <c r="D3" s="4">
        <v>6556.37</v>
      </c>
      <c r="E3" s="2">
        <f t="shared" ref="E3:F3" si="1">(C3-C2)/C2</f>
        <v>-0.003369546948</v>
      </c>
      <c r="F3" s="2">
        <f t="shared" si="1"/>
        <v>-0.003742592311</v>
      </c>
      <c r="I3" s="26"/>
    </row>
    <row r="4" ht="15.75" customHeight="1">
      <c r="A4" s="24">
        <v>46106.0</v>
      </c>
      <c r="B4" s="21">
        <f t="shared" si="2"/>
        <v>101.1776088</v>
      </c>
      <c r="C4" s="25">
        <v>33439.11</v>
      </c>
      <c r="D4" s="4">
        <v>6591.9</v>
      </c>
      <c r="E4" s="2">
        <f t="shared" ref="E4:F4" si="3">(C4-C3)/C3</f>
        <v>0.02535459079</v>
      </c>
      <c r="F4" s="2">
        <f t="shared" si="3"/>
        <v>0.005419157247</v>
      </c>
      <c r="I4" s="27"/>
    </row>
    <row r="5" ht="15.75" customHeight="1">
      <c r="A5" s="24">
        <v>46107.0</v>
      </c>
      <c r="B5" s="21">
        <f t="shared" si="2"/>
        <v>99.9132772</v>
      </c>
      <c r="C5" s="25">
        <v>33337.62</v>
      </c>
      <c r="D5" s="4">
        <v>6447.16</v>
      </c>
      <c r="E5" s="2">
        <f t="shared" ref="E5:F5" si="4">(C5-C4)/C4</f>
        <v>-0.003035068816</v>
      </c>
      <c r="F5" s="2">
        <f t="shared" si="4"/>
        <v>-0.02195725057</v>
      </c>
      <c r="I5" s="28"/>
    </row>
    <row r="6" ht="15.75" customHeight="1">
      <c r="A6" s="24">
        <v>46108.0</v>
      </c>
      <c r="B6" s="21">
        <f t="shared" si="2"/>
        <v>98.96927331</v>
      </c>
      <c r="C6" s="25">
        <v>33112.59</v>
      </c>
      <c r="D6" s="4">
        <v>6368.85</v>
      </c>
      <c r="E6" s="2">
        <f t="shared" ref="E6:F6" si="5">(C6-C5)/C5</f>
        <v>-0.006750031946</v>
      </c>
      <c r="F6" s="2">
        <f t="shared" si="5"/>
        <v>-0.01214643347</v>
      </c>
      <c r="I6" s="29"/>
    </row>
    <row r="7" ht="15.75" customHeight="1">
      <c r="A7" s="24">
        <v>46111.0</v>
      </c>
      <c r="B7" s="21">
        <f t="shared" si="2"/>
        <v>97.88568104</v>
      </c>
      <c r="C7" s="25">
        <v>32518.16</v>
      </c>
      <c r="D7" s="4">
        <v>6343.72</v>
      </c>
      <c r="E7" s="2">
        <f t="shared" ref="E7:F7" si="6">(C7-C6)/C6</f>
        <v>-0.01795178209</v>
      </c>
      <c r="F7" s="2">
        <f t="shared" si="6"/>
        <v>-0.003945767289</v>
      </c>
      <c r="I7" s="29"/>
    </row>
    <row r="8" ht="15.75" customHeight="1">
      <c r="A8" s="24">
        <v>46112.0</v>
      </c>
      <c r="B8" s="21">
        <f t="shared" si="2"/>
        <v>98.11463891</v>
      </c>
      <c r="C8" s="25">
        <v>31722.99</v>
      </c>
      <c r="D8" s="4">
        <v>6528.52</v>
      </c>
      <c r="E8" s="2">
        <f t="shared" ref="E8:F8" si="7">(C8-C7)/C7</f>
        <v>-0.02445310559</v>
      </c>
      <c r="F8" s="2">
        <f t="shared" si="7"/>
        <v>0.02913117225</v>
      </c>
      <c r="I8" s="29"/>
    </row>
    <row r="9" ht="15.75" customHeight="1">
      <c r="A9" s="24">
        <v>46113.0</v>
      </c>
      <c r="B9" s="21">
        <f t="shared" si="2"/>
        <v>100.7114591</v>
      </c>
      <c r="C9" s="25">
        <v>33174.82</v>
      </c>
      <c r="D9" s="4">
        <v>6575.32</v>
      </c>
      <c r="E9" s="2">
        <f t="shared" ref="E9:F9" si="8">(C9-C8)/C8</f>
        <v>0.04576586255</v>
      </c>
      <c r="F9" s="2">
        <f t="shared" si="8"/>
        <v>0.007168546623</v>
      </c>
      <c r="I9" s="29"/>
    </row>
    <row r="10" ht="15.75" customHeight="1">
      <c r="A10" s="24">
        <v>46114.0</v>
      </c>
      <c r="B10" s="21">
        <f t="shared" si="2"/>
        <v>99.85353895</v>
      </c>
      <c r="C10" s="25">
        <v>32572.43</v>
      </c>
      <c r="D10" s="4">
        <v>6582.69</v>
      </c>
      <c r="E10" s="2">
        <f t="shared" ref="E10:F10" si="9">(C10-C9)/C9</f>
        <v>-0.01815804879</v>
      </c>
      <c r="F10" s="2">
        <f t="shared" si="9"/>
        <v>0.001120857996</v>
      </c>
      <c r="I10" s="29"/>
    </row>
    <row r="11" ht="15.75" customHeight="1">
      <c r="A11" s="24">
        <v>46118.0</v>
      </c>
      <c r="B11" s="21">
        <f t="shared" si="2"/>
        <v>100.0745529</v>
      </c>
      <c r="C11" s="25">
        <v>32572.43</v>
      </c>
      <c r="D11" s="4">
        <v>6611.83</v>
      </c>
      <c r="E11" s="2">
        <f t="shared" ref="E11:F11" si="10">(C11-C10)/C10</f>
        <v>0</v>
      </c>
      <c r="F11" s="2">
        <f t="shared" si="10"/>
        <v>0.004426761704</v>
      </c>
      <c r="I11" s="29"/>
    </row>
    <row r="12" ht="15.75" customHeight="1">
      <c r="A12" s="24">
        <v>46119.0</v>
      </c>
      <c r="B12" s="21">
        <f t="shared" si="2"/>
        <v>101.122416</v>
      </c>
      <c r="C12" s="25">
        <v>33229.82</v>
      </c>
      <c r="D12" s="4">
        <v>6616.85</v>
      </c>
      <c r="E12" s="2">
        <f t="shared" ref="E12:F12" si="11">(C12-C11)/C11</f>
        <v>0.0201824058</v>
      </c>
      <c r="F12" s="2">
        <f t="shared" si="11"/>
        <v>0.0007592451712</v>
      </c>
      <c r="I12" s="29"/>
    </row>
    <row r="13" ht="15.75" customHeight="1">
      <c r="A13" s="24">
        <v>46120.0</v>
      </c>
      <c r="B13" s="21">
        <f t="shared" si="2"/>
        <v>104.7209254</v>
      </c>
      <c r="C13" s="25">
        <v>34761.38</v>
      </c>
      <c r="D13" s="4">
        <v>6782.81</v>
      </c>
      <c r="E13" s="2">
        <f t="shared" ref="E13:F13" si="12">(C13-C12)/C12</f>
        <v>0.04608992766</v>
      </c>
      <c r="F13" s="2">
        <f t="shared" si="12"/>
        <v>0.02508142092</v>
      </c>
      <c r="I13" s="29"/>
    </row>
    <row r="14" ht="15.75" customHeight="1">
      <c r="A14" s="24">
        <v>46121.0</v>
      </c>
      <c r="B14" s="21">
        <f t="shared" si="2"/>
        <v>105.1942868</v>
      </c>
      <c r="C14" s="4">
        <v>34861.16</v>
      </c>
      <c r="D14" s="4">
        <v>6824.66</v>
      </c>
      <c r="E14" s="2">
        <f t="shared" ref="E14:F14" si="13">(C14-C13)/C13</f>
        <v>0.002870426893</v>
      </c>
      <c r="F14" s="2">
        <f t="shared" si="13"/>
        <v>0.006170009185</v>
      </c>
      <c r="I14" s="29"/>
    </row>
    <row r="15" ht="15.75" customHeight="1">
      <c r="A15" s="24">
        <v>46122.0</v>
      </c>
      <c r="B15" s="21">
        <f t="shared" si="2"/>
        <v>105.9742858</v>
      </c>
      <c r="C15" s="4">
        <v>35417.83</v>
      </c>
      <c r="D15" s="4">
        <v>6816.89</v>
      </c>
      <c r="E15" s="2">
        <f t="shared" ref="E15:F15" si="14">(C15-C14)/C14</f>
        <v>0.01596820071</v>
      </c>
      <c r="F15" s="2">
        <f t="shared" si="14"/>
        <v>-0.001138518256</v>
      </c>
      <c r="I15" s="29"/>
    </row>
    <row r="16" ht="15.75" customHeight="1">
      <c r="A16" s="24">
        <v>46125.0</v>
      </c>
      <c r="B16" s="21">
        <f t="shared" si="2"/>
        <v>106.5723722</v>
      </c>
      <c r="C16" s="4">
        <v>35457.29</v>
      </c>
      <c r="D16" s="4">
        <v>6886.24</v>
      </c>
      <c r="E16" s="2">
        <f t="shared" ref="E16:F16" si="15">(C16-C15)/C15</f>
        <v>0.00111412811</v>
      </c>
      <c r="F16" s="2">
        <f t="shared" si="15"/>
        <v>0.01017326083</v>
      </c>
      <c r="I16" s="29"/>
    </row>
    <row r="17" ht="15.75" customHeight="1">
      <c r="A17" s="24">
        <v>46126.0</v>
      </c>
      <c r="B17" s="21">
        <f t="shared" si="2"/>
        <v>108.4608557</v>
      </c>
      <c r="C17" s="4">
        <v>36296.12</v>
      </c>
      <c r="D17" s="4">
        <v>6967.38</v>
      </c>
      <c r="E17" s="2">
        <f t="shared" ref="E17:F17" si="16">(C17-C16)/C16</f>
        <v>0.02365747636</v>
      </c>
      <c r="F17" s="2">
        <f t="shared" si="16"/>
        <v>0.01178291782</v>
      </c>
      <c r="I17" s="29"/>
    </row>
    <row r="18" ht="15.75" customHeight="1">
      <c r="A18" s="24">
        <v>46127.0</v>
      </c>
      <c r="B18" s="21">
        <f t="shared" si="2"/>
        <v>109.5299045</v>
      </c>
      <c r="C18" s="4">
        <v>36722.14</v>
      </c>
      <c r="D18" s="4">
        <v>7022.95</v>
      </c>
      <c r="E18" s="2">
        <f t="shared" ref="E18:F18" si="17">(C18-C17)/C17</f>
        <v>0.01173734272</v>
      </c>
      <c r="F18" s="2">
        <f t="shared" si="17"/>
        <v>0.007975738369</v>
      </c>
      <c r="I18" s="29"/>
    </row>
    <row r="19" ht="15.75" customHeight="1">
      <c r="A19" s="24">
        <v>46128.0</v>
      </c>
      <c r="B19" s="21">
        <f t="shared" si="2"/>
        <v>110.2841095</v>
      </c>
      <c r="C19" s="4">
        <v>37132.02</v>
      </c>
      <c r="D19" s="4">
        <v>7041.28</v>
      </c>
      <c r="E19" s="2">
        <f t="shared" ref="E19:F19" si="18">(C19-C18)/C18</f>
        <v>0.01116165888</v>
      </c>
      <c r="F19" s="2">
        <f t="shared" si="18"/>
        <v>0.00261001431</v>
      </c>
      <c r="I19" s="29"/>
    </row>
    <row r="20" ht="15.75" customHeight="1">
      <c r="A20" s="24">
        <v>46129.0</v>
      </c>
      <c r="B20" s="21">
        <f t="shared" si="2"/>
        <v>110.4614296</v>
      </c>
      <c r="C20" s="4">
        <v>36804.34</v>
      </c>
      <c r="D20" s="4">
        <v>7126.06</v>
      </c>
      <c r="E20" s="2">
        <f t="shared" ref="E20:F20" si="19">(C20-C19)/C19</f>
        <v>-0.00882472863</v>
      </c>
      <c r="F20" s="2">
        <f t="shared" si="19"/>
        <v>0.01204042447</v>
      </c>
      <c r="I20" s="29"/>
    </row>
    <row r="21" ht="15.75" customHeight="1">
      <c r="A21" s="24">
        <v>46132.0</v>
      </c>
      <c r="B21" s="21">
        <f t="shared" si="2"/>
        <v>110.5620823</v>
      </c>
      <c r="C21" s="4">
        <v>36958.8</v>
      </c>
      <c r="D21" s="4">
        <v>7109.14</v>
      </c>
      <c r="E21" s="2">
        <f t="shared" ref="E21:F21" si="20">(C21-C20)/C20</f>
        <v>0.004196787661</v>
      </c>
      <c r="F21" s="2">
        <f t="shared" si="20"/>
        <v>-0.0023743836</v>
      </c>
      <c r="I21" s="29"/>
    </row>
    <row r="22" ht="15.75" customHeight="1">
      <c r="A22" s="24">
        <v>46133.0</v>
      </c>
      <c r="B22" s="21">
        <f t="shared" si="2"/>
        <v>111.1778658</v>
      </c>
      <c r="C22" s="4">
        <v>37605.11</v>
      </c>
      <c r="D22" s="4">
        <v>7064.01</v>
      </c>
      <c r="E22" s="2">
        <f t="shared" ref="E22:F22" si="21">(C22-C21)/C21</f>
        <v>0.01748731019</v>
      </c>
      <c r="F22" s="2">
        <f t="shared" si="21"/>
        <v>-0.006348165882</v>
      </c>
      <c r="I22" s="29"/>
    </row>
    <row r="23" ht="15.75" customHeight="1">
      <c r="A23" s="24">
        <v>46134.0</v>
      </c>
      <c r="B23" s="21">
        <f t="shared" si="2"/>
        <v>112.0460078</v>
      </c>
      <c r="C23" s="4">
        <v>37878.47</v>
      </c>
      <c r="D23" s="4">
        <v>7122.98</v>
      </c>
      <c r="E23" s="2">
        <f t="shared" ref="E23:F23" si="22">(C23-C22)/C22</f>
        <v>0.007269224847</v>
      </c>
      <c r="F23" s="2">
        <f t="shared" si="22"/>
        <v>0.008347949677</v>
      </c>
      <c r="I23" s="29"/>
    </row>
    <row r="24" ht="15.75" customHeight="1">
      <c r="A24" s="24">
        <v>46135.0</v>
      </c>
      <c r="B24" s="21">
        <f t="shared" si="2"/>
        <v>111.6883021</v>
      </c>
      <c r="C24" s="4">
        <v>37714.15</v>
      </c>
      <c r="D24" s="4">
        <v>7108.4</v>
      </c>
      <c r="E24" s="2">
        <f t="shared" ref="E24:F24" si="23">(C24-C23)/C23</f>
        <v>-0.004338084405</v>
      </c>
      <c r="F24" s="2">
        <f t="shared" si="23"/>
        <v>-0.002046896102</v>
      </c>
      <c r="I24" s="29"/>
    </row>
    <row r="25" ht="15.75" customHeight="1">
      <c r="A25" s="24">
        <v>46136.0</v>
      </c>
      <c r="B25" s="21">
        <f t="shared" si="2"/>
        <v>113.9374735</v>
      </c>
      <c r="C25" s="4">
        <v>38932.4</v>
      </c>
      <c r="D25" s="4">
        <v>7165.08</v>
      </c>
      <c r="E25" s="2">
        <f t="shared" ref="E25:F25" si="24">(C25-C24)/C24</f>
        <v>0.03230219957</v>
      </c>
      <c r="F25" s="2">
        <f t="shared" si="24"/>
        <v>0.00797366496</v>
      </c>
      <c r="I25" s="29"/>
    </row>
    <row r="26" ht="15.75" customHeight="1">
      <c r="A26" s="24">
        <v>46139.0</v>
      </c>
      <c r="B26" s="21">
        <f t="shared" si="2"/>
        <v>115.0088953</v>
      </c>
      <c r="C26" s="4">
        <v>39616.63</v>
      </c>
      <c r="D26" s="4">
        <v>7173.91</v>
      </c>
      <c r="E26" s="2">
        <f t="shared" ref="E26:F26" si="25">(C26-C25)/C25</f>
        <v>0.017574822</v>
      </c>
      <c r="F26" s="2">
        <f t="shared" si="25"/>
        <v>0.001232365863</v>
      </c>
      <c r="I26" s="29"/>
    </row>
    <row r="27" ht="15.75" customHeight="1">
      <c r="A27" s="24">
        <v>46140.0</v>
      </c>
      <c r="B27" s="21">
        <f t="shared" si="2"/>
        <v>114.5897119</v>
      </c>
      <c r="C27" s="4">
        <v>39521.73</v>
      </c>
      <c r="D27" s="4">
        <v>7138.8</v>
      </c>
      <c r="E27" s="2">
        <f t="shared" ref="E27:F27" si="26">(C27-C26)/C26</f>
        <v>-0.002395458675</v>
      </c>
      <c r="F27" s="2">
        <f t="shared" si="26"/>
        <v>-0.004894123288</v>
      </c>
      <c r="I27" s="29"/>
    </row>
    <row r="28" ht="15.75" customHeight="1">
      <c r="A28" s="24">
        <v>46141.0</v>
      </c>
      <c r="B28" s="21">
        <f t="shared" si="2"/>
        <v>114.2504691</v>
      </c>
      <c r="C28" s="4">
        <v>39303.5</v>
      </c>
      <c r="D28" s="4">
        <v>7135.95</v>
      </c>
      <c r="E28" s="2">
        <f t="shared" ref="E28:F28" si="27">(C28-C27)/C27</f>
        <v>-0.005521772453</v>
      </c>
      <c r="F28" s="2">
        <f t="shared" si="27"/>
        <v>-0.0003992267608</v>
      </c>
      <c r="I28" s="29"/>
    </row>
    <row r="29" ht="15.75" customHeight="1">
      <c r="A29" s="24">
        <v>46142.0</v>
      </c>
      <c r="B29" s="21">
        <f t="shared" si="2"/>
        <v>114.2875769</v>
      </c>
      <c r="C29" s="4">
        <v>38926.63</v>
      </c>
      <c r="D29" s="4">
        <v>7209.01</v>
      </c>
      <c r="E29" s="2">
        <f t="shared" ref="E29:F29" si="28">(C29-C28)/C28</f>
        <v>-0.009588713473</v>
      </c>
      <c r="F29" s="2">
        <f t="shared" si="28"/>
        <v>0.01023830044</v>
      </c>
      <c r="I29" s="29"/>
    </row>
    <row r="30" ht="15.75" customHeight="1">
      <c r="A30" s="24">
        <v>46143.0</v>
      </c>
      <c r="B30" s="21">
        <f t="shared" si="2"/>
        <v>114.4549099</v>
      </c>
      <c r="C30" s="4">
        <v>38926.63</v>
      </c>
      <c r="D30" s="4">
        <v>7230.12</v>
      </c>
      <c r="E30" s="2">
        <f t="shared" ref="E30:F30" si="29">(C30-C29)/C29</f>
        <v>0</v>
      </c>
      <c r="F30" s="2">
        <f t="shared" si="29"/>
        <v>0.002928280027</v>
      </c>
      <c r="I30" s="29"/>
    </row>
    <row r="31" ht="15.75" customHeight="1">
      <c r="A31" s="24">
        <v>46146.0</v>
      </c>
      <c r="B31" s="21">
        <f t="shared" si="2"/>
        <v>116.8370943</v>
      </c>
      <c r="C31" s="4">
        <v>40705.14</v>
      </c>
      <c r="D31" s="4">
        <v>7200.75</v>
      </c>
      <c r="E31" s="2">
        <f t="shared" ref="E31:F31" si="30">(C31-C30)/C30</f>
        <v>0.04568877398</v>
      </c>
      <c r="F31" s="2">
        <f t="shared" si="30"/>
        <v>-0.004062173242</v>
      </c>
      <c r="I31" s="29"/>
    </row>
    <row r="32" ht="15.75" customHeight="1">
      <c r="A32" s="24">
        <v>46147.0</v>
      </c>
      <c r="B32" s="21">
        <f t="shared" si="2"/>
        <v>117.403518</v>
      </c>
      <c r="C32" s="4">
        <v>40769.29</v>
      </c>
      <c r="D32" s="4">
        <v>7259.22</v>
      </c>
      <c r="E32" s="2">
        <f t="shared" ref="E32:F32" si="31">(C32-C31)/C31</f>
        <v>0.001575968047</v>
      </c>
      <c r="F32" s="2">
        <f t="shared" si="31"/>
        <v>0.008119987501</v>
      </c>
      <c r="I32" s="29"/>
    </row>
    <row r="33" ht="15.75" customHeight="1">
      <c r="A33" s="24">
        <v>46148.0</v>
      </c>
      <c r="B33" s="21">
        <f t="shared" si="2"/>
        <v>118.7919913</v>
      </c>
      <c r="C33" s="4">
        <v>41138.85</v>
      </c>
      <c r="D33" s="4">
        <v>7365.12</v>
      </c>
      <c r="E33" s="2">
        <f t="shared" ref="E33:F33" si="32">(C33-C32)/C32</f>
        <v>0.009064666076</v>
      </c>
      <c r="F33" s="2">
        <f t="shared" si="32"/>
        <v>0.0145883442</v>
      </c>
      <c r="I33" s="29"/>
    </row>
    <row r="34" ht="15.75" customHeight="1">
      <c r="A34" s="24">
        <v>46149.0</v>
      </c>
      <c r="B34" s="21">
        <f t="shared" si="2"/>
        <v>119.7138193</v>
      </c>
      <c r="C34" s="4">
        <v>41933.78</v>
      </c>
      <c r="D34" s="4">
        <v>7337.11</v>
      </c>
      <c r="E34" s="2">
        <f t="shared" ref="E34:F34" si="33">(C34-C33)/C33</f>
        <v>0.01932309727</v>
      </c>
      <c r="F34" s="2">
        <f t="shared" si="33"/>
        <v>-0.003803060914</v>
      </c>
      <c r="I34" s="29"/>
    </row>
    <row r="35" ht="15.75" customHeight="1">
      <c r="A35" s="24">
        <v>46150.0</v>
      </c>
      <c r="B35" s="21">
        <f t="shared" si="2"/>
        <v>119.7473347</v>
      </c>
      <c r="C35" s="4">
        <v>41603.94</v>
      </c>
      <c r="D35" s="4">
        <v>7398.93</v>
      </c>
      <c r="E35" s="2">
        <f t="shared" ref="E35:F35" si="34">(C35-C34)/C34</f>
        <v>-0.007865734975</v>
      </c>
      <c r="F35" s="2">
        <f t="shared" si="34"/>
        <v>0.008425660785</v>
      </c>
      <c r="I35" s="29"/>
    </row>
    <row r="36" ht="15.75" customHeight="1">
      <c r="A36" s="24">
        <v>46153.0</v>
      </c>
      <c r="B36" s="21">
        <f t="shared" si="2"/>
        <v>120.127749</v>
      </c>
      <c r="C36" s="4">
        <v>41790.06</v>
      </c>
      <c r="D36" s="4">
        <v>7412.84</v>
      </c>
      <c r="E36" s="2">
        <f t="shared" ref="E36:F36" si="35">(C36-C35)/C35</f>
        <v>0.004473614759</v>
      </c>
      <c r="F36" s="2">
        <f t="shared" si="35"/>
        <v>0.001880001568</v>
      </c>
      <c r="I36" s="29"/>
    </row>
    <row r="37" ht="15.75" customHeight="1">
      <c r="A37" s="24">
        <v>46154.0</v>
      </c>
      <c r="B37" s="21">
        <f t="shared" si="2"/>
        <v>120.1870887</v>
      </c>
      <c r="C37" s="4">
        <v>41898.32</v>
      </c>
      <c r="D37" s="4">
        <v>7400.96</v>
      </c>
      <c r="E37" s="2">
        <f t="shared" ref="E37:F37" si="36">(C37-C36)/C36</f>
        <v>0.002590568188</v>
      </c>
      <c r="F37" s="2">
        <f t="shared" si="36"/>
        <v>-0.001602624635</v>
      </c>
      <c r="I37" s="29"/>
    </row>
    <row r="38" ht="15.75" customHeight="1">
      <c r="A38" s="24">
        <v>46155.0</v>
      </c>
      <c r="B38" s="21">
        <f t="shared" si="2"/>
        <v>119.7872905</v>
      </c>
      <c r="C38" s="4">
        <v>41374.5</v>
      </c>
      <c r="D38" s="4">
        <v>7444.25</v>
      </c>
      <c r="E38" s="2">
        <f t="shared" ref="E38:F38" si="37">(C38-C37)/C37</f>
        <v>-0.01250217192</v>
      </c>
      <c r="F38" s="2">
        <f t="shared" si="37"/>
        <v>0.00584924118</v>
      </c>
      <c r="I38" s="29"/>
    </row>
    <row r="39" ht="15.75" customHeight="1">
      <c r="A39" s="24">
        <v>46156.0</v>
      </c>
      <c r="B39" s="21">
        <f t="shared" si="2"/>
        <v>120.7919171</v>
      </c>
      <c r="C39" s="4">
        <v>41751.75</v>
      </c>
      <c r="D39" s="4">
        <v>7501.24</v>
      </c>
      <c r="E39" s="2">
        <f t="shared" ref="E39:F39" si="38">(C39-C38)/C38</f>
        <v>0.00911793496</v>
      </c>
      <c r="F39" s="2">
        <f t="shared" si="38"/>
        <v>0.007655573093</v>
      </c>
      <c r="I39" s="29"/>
    </row>
    <row r="40" ht="15.75" customHeight="1">
      <c r="A40" s="24">
        <v>46157.0</v>
      </c>
      <c r="B40" s="21">
        <f t="shared" si="2"/>
        <v>119.2071083</v>
      </c>
      <c r="C40" s="4">
        <v>41172.36</v>
      </c>
      <c r="D40" s="4">
        <v>7408.5</v>
      </c>
      <c r="E40" s="2">
        <f t="shared" ref="E40:F40" si="39">(C40-C39)/C39</f>
        <v>-0.01387702312</v>
      </c>
      <c r="F40" s="2">
        <f t="shared" si="39"/>
        <v>-0.01236328927</v>
      </c>
      <c r="I40" s="29"/>
    </row>
    <row r="41" ht="15.75" customHeight="1">
      <c r="A41" s="24">
        <v>46160.0</v>
      </c>
      <c r="B41" s="21">
        <f t="shared" si="2"/>
        <v>118.757135</v>
      </c>
      <c r="C41" s="4">
        <v>40891.82</v>
      </c>
      <c r="D41" s="4">
        <v>7403.05</v>
      </c>
      <c r="E41" s="2">
        <f t="shared" ref="E41:F41" si="40">(C41-C40)/C40</f>
        <v>-0.006813794497</v>
      </c>
      <c r="F41" s="2">
        <f t="shared" si="40"/>
        <v>-0.0007356414929</v>
      </c>
      <c r="I41" s="29"/>
    </row>
    <row r="42" ht="15.75" customHeight="1">
      <c r="A42" s="24">
        <v>46161.0</v>
      </c>
      <c r="B42" s="21">
        <f t="shared" si="2"/>
        <v>117.3219642</v>
      </c>
      <c r="C42" s="4">
        <v>40176.56</v>
      </c>
      <c r="D42" s="4">
        <v>7353.61</v>
      </c>
      <c r="E42" s="2">
        <f t="shared" ref="E42:F42" si="41">(C42-C41)/C41</f>
        <v>-0.01749151786</v>
      </c>
      <c r="F42" s="2">
        <f t="shared" si="41"/>
        <v>-0.006678328527</v>
      </c>
      <c r="I42" s="29"/>
    </row>
    <row r="43" ht="15.75" customHeight="1">
      <c r="A43" s="24">
        <v>46162.0</v>
      </c>
      <c r="B43" s="21">
        <f t="shared" si="2"/>
        <v>117.7276394</v>
      </c>
      <c r="C43" s="4">
        <v>40020.82</v>
      </c>
      <c r="D43" s="4">
        <v>7432.97</v>
      </c>
      <c r="E43" s="2">
        <f t="shared" ref="E43:F43" si="42">(C43-C42)/C42</f>
        <v>-0.003876389616</v>
      </c>
      <c r="F43" s="2">
        <f t="shared" si="42"/>
        <v>0.01079197836</v>
      </c>
      <c r="I43" s="29"/>
    </row>
    <row r="44" ht="15.75" customHeight="1">
      <c r="A44" s="24">
        <v>46163.0</v>
      </c>
      <c r="B44" s="21">
        <f t="shared" si="2"/>
        <v>121.221462</v>
      </c>
      <c r="C44" s="4">
        <v>42327.58</v>
      </c>
      <c r="D44" s="4">
        <v>7445.72</v>
      </c>
      <c r="E44" s="2">
        <f t="shared" ref="E44:F44" si="43">(C44-C43)/C43</f>
        <v>0.0576389989</v>
      </c>
      <c r="F44" s="2">
        <f t="shared" si="43"/>
        <v>0.00171533048</v>
      </c>
      <c r="I44" s="29"/>
    </row>
    <row r="45" ht="15.75" customHeight="1">
      <c r="A45" s="24">
        <v>46164.0</v>
      </c>
      <c r="B45" s="21">
        <f t="shared" si="2"/>
        <v>121.3619983</v>
      </c>
      <c r="C45" s="4">
        <v>42267.97</v>
      </c>
      <c r="D45" s="4">
        <v>7473.47</v>
      </c>
      <c r="E45" s="2">
        <f t="shared" ref="E45:F45" si="44">(C45-C44)/C44</f>
        <v>-0.001408301632</v>
      </c>
      <c r="F45" s="2">
        <f t="shared" si="44"/>
        <v>0.003726973348</v>
      </c>
      <c r="I45" s="29"/>
    </row>
    <row r="46" ht="15.75" customHeight="1">
      <c r="A46" s="24">
        <v>46167.0</v>
      </c>
      <c r="B46" s="21">
        <f t="shared" si="2"/>
        <v>123.3380371</v>
      </c>
      <c r="C46" s="4">
        <v>43644.4</v>
      </c>
      <c r="D46" s="4">
        <v>7473.47</v>
      </c>
      <c r="E46" s="2">
        <f t="shared" ref="E46:F46" si="45">(C46-C45)/C45</f>
        <v>0.0325643744</v>
      </c>
      <c r="F46" s="2">
        <f t="shared" si="45"/>
        <v>0</v>
      </c>
      <c r="I46" s="29"/>
    </row>
    <row r="47" ht="15.75" customHeight="1">
      <c r="A47" s="24">
        <v>46168.0</v>
      </c>
      <c r="B47" s="21">
        <f t="shared" si="2"/>
        <v>123.5465404</v>
      </c>
      <c r="C47" s="4">
        <v>43525.37</v>
      </c>
      <c r="D47" s="4">
        <v>7519.12</v>
      </c>
      <c r="E47" s="2">
        <f t="shared" ref="E47:F47" si="46">(C47-C46)/C46</f>
        <v>-0.002727268561</v>
      </c>
      <c r="F47" s="2">
        <f t="shared" si="46"/>
        <v>0.006108273667</v>
      </c>
      <c r="I47" s="29"/>
    </row>
    <row r="48" ht="15.75" customHeight="1">
      <c r="A48" s="24"/>
      <c r="B48" s="21"/>
    </row>
    <row r="49" ht="15.75" customHeight="1">
      <c r="A49" s="24"/>
      <c r="B49" s="21"/>
    </row>
    <row r="50" ht="15.75" customHeight="1">
      <c r="A50" s="24"/>
      <c r="B50" s="21"/>
    </row>
    <row r="51" ht="15.75" customHeight="1">
      <c r="A51" s="24"/>
      <c r="B51" s="21"/>
    </row>
    <row r="52" ht="15.75" customHeight="1">
      <c r="A52" s="24"/>
      <c r="B52" s="21"/>
    </row>
    <row r="53" ht="15.75" customHeight="1">
      <c r="B53" s="21"/>
    </row>
    <row r="54" ht="15.75" customHeight="1">
      <c r="B54" s="21"/>
    </row>
    <row r="55" ht="15.75" customHeight="1">
      <c r="B55" s="21"/>
    </row>
    <row r="56" ht="15.75" customHeight="1">
      <c r="B56" s="21"/>
    </row>
    <row r="57" ht="15.75" customHeight="1">
      <c r="B57" s="21"/>
    </row>
    <row r="58" ht="15.75" customHeight="1">
      <c r="B58" s="21"/>
    </row>
    <row r="59" ht="15.75" customHeight="1">
      <c r="B59" s="21"/>
    </row>
    <row r="60" ht="15.75" customHeight="1">
      <c r="B60" s="21"/>
    </row>
    <row r="61" ht="15.75" customHeight="1">
      <c r="B61" s="21"/>
    </row>
    <row r="62" ht="15.75" customHeight="1">
      <c r="B62" s="21"/>
    </row>
    <row r="63" ht="15.75" customHeight="1">
      <c r="B63" s="21"/>
    </row>
    <row r="64" ht="15.75" customHeight="1">
      <c r="B64" s="21"/>
    </row>
    <row r="65" ht="15.75" customHeight="1">
      <c r="B65" s="21"/>
    </row>
    <row r="66" ht="15.75" customHeight="1">
      <c r="B66" s="21"/>
    </row>
    <row r="67" ht="15.75" customHeight="1">
      <c r="B67" s="21"/>
    </row>
    <row r="68" ht="15.75" customHeight="1">
      <c r="B68" s="21"/>
    </row>
    <row r="69" ht="15.75" customHeight="1">
      <c r="B69" s="21"/>
    </row>
    <row r="70" ht="15.75" customHeight="1">
      <c r="B70" s="21"/>
    </row>
    <row r="71" ht="15.75" customHeight="1">
      <c r="B71" s="21"/>
    </row>
    <row r="72" ht="15.75" customHeight="1">
      <c r="B72" s="21"/>
    </row>
    <row r="73" ht="15.75" customHeight="1">
      <c r="B73" s="21"/>
    </row>
    <row r="74" ht="15.75" customHeight="1">
      <c r="B74" s="21"/>
    </row>
    <row r="75" ht="15.75" customHeight="1">
      <c r="B75" s="21"/>
    </row>
    <row r="76" ht="15.75" customHeight="1">
      <c r="B76" s="21"/>
    </row>
    <row r="77" ht="15.75" customHeight="1">
      <c r="B77" s="21"/>
    </row>
    <row r="78" ht="15.75" customHeight="1">
      <c r="B78" s="21"/>
    </row>
    <row r="79" ht="15.75" customHeight="1">
      <c r="B79" s="21"/>
    </row>
    <row r="80" ht="15.75" customHeight="1">
      <c r="B80" s="21"/>
    </row>
    <row r="81" ht="15.75" customHeight="1">
      <c r="B81" s="21"/>
    </row>
    <row r="82" ht="15.75" customHeight="1">
      <c r="B82" s="21"/>
    </row>
    <row r="83" ht="15.75" customHeight="1">
      <c r="B83" s="21"/>
    </row>
    <row r="84" ht="15.75" customHeight="1">
      <c r="B84" s="21"/>
    </row>
    <row r="85" ht="15.75" customHeight="1">
      <c r="B85" s="21"/>
    </row>
    <row r="86" ht="15.75" customHeight="1">
      <c r="B86" s="21"/>
    </row>
    <row r="87" ht="15.75" customHeight="1">
      <c r="B87" s="21"/>
    </row>
    <row r="88" ht="15.75" customHeight="1">
      <c r="B88" s="21"/>
    </row>
    <row r="89" ht="15.75" customHeight="1">
      <c r="B89" s="21"/>
    </row>
    <row r="90" ht="15.75" customHeight="1">
      <c r="B90" s="21"/>
    </row>
    <row r="91" ht="15.75" customHeight="1">
      <c r="B91" s="21"/>
    </row>
    <row r="92" ht="15.75" customHeight="1">
      <c r="B92" s="21"/>
    </row>
    <row r="93" ht="15.75" customHeight="1">
      <c r="B93" s="21"/>
    </row>
    <row r="94" ht="15.75" customHeight="1">
      <c r="B94" s="21"/>
    </row>
    <row r="95" ht="15.75" customHeight="1">
      <c r="B95" s="21"/>
    </row>
    <row r="96" ht="15.75" customHeight="1">
      <c r="B96" s="21"/>
    </row>
    <row r="97" ht="15.75" customHeight="1">
      <c r="B97" s="21"/>
    </row>
    <row r="98" ht="15.75" customHeight="1">
      <c r="B98" s="21"/>
    </row>
    <row r="99" ht="15.75" customHeight="1">
      <c r="B99" s="21"/>
    </row>
    <row r="100" ht="15.75" customHeight="1">
      <c r="B100" s="21"/>
    </row>
    <row r="101" ht="15.75" customHeight="1">
      <c r="B101" s="21"/>
    </row>
    <row r="102" ht="15.75" customHeight="1">
      <c r="B102" s="21"/>
    </row>
    <row r="103" ht="15.75" customHeight="1">
      <c r="B103" s="21"/>
    </row>
    <row r="104" ht="15.75" customHeight="1">
      <c r="B104" s="21"/>
    </row>
    <row r="105" ht="15.75" customHeight="1">
      <c r="B105" s="21"/>
    </row>
    <row r="106" ht="15.75" customHeight="1">
      <c r="B106" s="21"/>
    </row>
    <row r="107" ht="15.75" customHeight="1">
      <c r="B107" s="21"/>
    </row>
    <row r="108" ht="15.75" customHeight="1">
      <c r="B108" s="21"/>
    </row>
    <row r="109" ht="15.75" customHeight="1">
      <c r="B109" s="21"/>
    </row>
    <row r="110" ht="15.75" customHeight="1">
      <c r="B110" s="21"/>
    </row>
    <row r="111" ht="15.75" customHeight="1">
      <c r="B111" s="21"/>
    </row>
    <row r="112" ht="15.75" customHeight="1">
      <c r="B112" s="21"/>
    </row>
    <row r="113" ht="15.75" customHeight="1">
      <c r="B113" s="21"/>
    </row>
    <row r="114" ht="15.75" customHeight="1">
      <c r="B114" s="21"/>
    </row>
    <row r="115" ht="15.75" customHeight="1">
      <c r="B115" s="21"/>
    </row>
    <row r="116" ht="15.75" customHeight="1">
      <c r="B116" s="21"/>
    </row>
    <row r="117" ht="15.75" customHeight="1">
      <c r="B117" s="21"/>
    </row>
    <row r="118" ht="15.75" customHeight="1">
      <c r="B118" s="21"/>
    </row>
    <row r="119" ht="15.75" customHeight="1">
      <c r="B119" s="21"/>
    </row>
    <row r="120" ht="15.75" customHeight="1">
      <c r="B120" s="21"/>
    </row>
    <row r="121" ht="15.75" customHeight="1">
      <c r="B121" s="21"/>
    </row>
    <row r="122" ht="15.75" customHeight="1">
      <c r="B122" s="21"/>
    </row>
    <row r="123" ht="15.75" customHeight="1">
      <c r="B123" s="21"/>
    </row>
    <row r="124" ht="15.75" customHeight="1">
      <c r="B124" s="21"/>
    </row>
    <row r="125" ht="15.75" customHeight="1">
      <c r="B125" s="21"/>
    </row>
    <row r="126" ht="15.75" customHeight="1">
      <c r="B126" s="21"/>
    </row>
    <row r="127" ht="15.75" customHeight="1">
      <c r="B127" s="21"/>
    </row>
    <row r="128" ht="15.75" customHeight="1">
      <c r="B128" s="21"/>
    </row>
    <row r="129" ht="15.75" customHeight="1">
      <c r="B129" s="21"/>
    </row>
    <row r="130" ht="15.75" customHeight="1">
      <c r="B130" s="21"/>
    </row>
    <row r="131" ht="15.75" customHeight="1">
      <c r="B131" s="21"/>
    </row>
    <row r="132" ht="15.75" customHeight="1">
      <c r="B132" s="21"/>
    </row>
    <row r="133" ht="15.75" customHeight="1">
      <c r="B133" s="21"/>
    </row>
    <row r="134" ht="15.75" customHeight="1">
      <c r="B134" s="21"/>
    </row>
    <row r="135" ht="15.75" customHeight="1">
      <c r="B135" s="21"/>
    </row>
    <row r="136" ht="15.75" customHeight="1">
      <c r="B136" s="21"/>
    </row>
    <row r="137" ht="15.75" customHeight="1">
      <c r="B137" s="21"/>
    </row>
    <row r="138" ht="15.75" customHeight="1">
      <c r="B138" s="21"/>
    </row>
    <row r="139" ht="15.75" customHeight="1">
      <c r="B139" s="21"/>
    </row>
    <row r="140" ht="15.75" customHeight="1">
      <c r="B140" s="21"/>
    </row>
    <row r="141" ht="15.75" customHeight="1">
      <c r="B141" s="21"/>
    </row>
    <row r="142" ht="15.75" customHeight="1">
      <c r="B142" s="21"/>
    </row>
    <row r="143" ht="15.75" customHeight="1">
      <c r="B143" s="21"/>
    </row>
    <row r="144" ht="15.75" customHeight="1">
      <c r="B144" s="21"/>
    </row>
    <row r="145" ht="15.75" customHeight="1">
      <c r="B145" s="21"/>
    </row>
    <row r="146" ht="15.75" customHeight="1">
      <c r="B146" s="21"/>
    </row>
    <row r="147" ht="15.75" customHeight="1">
      <c r="B147" s="21"/>
    </row>
    <row r="148" ht="15.75" customHeight="1">
      <c r="B148" s="21"/>
    </row>
    <row r="149" ht="15.75" customHeight="1">
      <c r="B149" s="21"/>
    </row>
    <row r="150" ht="15.75" customHeight="1">
      <c r="B150" s="21"/>
    </row>
    <row r="151" ht="15.75" customHeight="1">
      <c r="B151" s="21"/>
    </row>
    <row r="152" ht="15.75" customHeight="1">
      <c r="B152" s="21"/>
    </row>
    <row r="153" ht="15.75" customHeight="1">
      <c r="B153" s="21"/>
    </row>
    <row r="154" ht="15.75" customHeight="1">
      <c r="B154" s="21"/>
    </row>
    <row r="155" ht="15.75" customHeight="1">
      <c r="B155" s="21"/>
    </row>
    <row r="156" ht="15.75" customHeight="1">
      <c r="B156" s="21"/>
    </row>
    <row r="157" ht="15.75" customHeight="1">
      <c r="B157" s="21"/>
    </row>
    <row r="158" ht="15.75" customHeight="1">
      <c r="B158" s="21"/>
    </row>
    <row r="159" ht="15.75" customHeight="1">
      <c r="B159" s="21"/>
    </row>
    <row r="160" ht="15.75" customHeight="1">
      <c r="B160" s="21"/>
    </row>
    <row r="161" ht="15.75" customHeight="1">
      <c r="B161" s="21"/>
    </row>
    <row r="162" ht="15.75" customHeight="1">
      <c r="B162" s="21"/>
    </row>
    <row r="163" ht="15.75" customHeight="1">
      <c r="B163" s="21"/>
    </row>
    <row r="164" ht="15.75" customHeight="1">
      <c r="B164" s="21"/>
    </row>
    <row r="165" ht="15.75" customHeight="1">
      <c r="B165" s="21"/>
    </row>
    <row r="166" ht="15.75" customHeight="1">
      <c r="B166" s="21"/>
    </row>
    <row r="167" ht="15.75" customHeight="1">
      <c r="B167" s="21"/>
    </row>
    <row r="168" ht="15.75" customHeight="1">
      <c r="B168" s="21"/>
    </row>
    <row r="169" ht="15.75" customHeight="1">
      <c r="B169" s="21"/>
    </row>
    <row r="170" ht="15.75" customHeight="1">
      <c r="B170" s="21"/>
    </row>
    <row r="171" ht="15.75" customHeight="1">
      <c r="B171" s="21"/>
    </row>
    <row r="172" ht="15.75" customHeight="1">
      <c r="B172" s="21"/>
    </row>
    <row r="173" ht="15.75" customHeight="1">
      <c r="B173" s="21"/>
    </row>
    <row r="174" ht="15.75" customHeight="1">
      <c r="B174" s="21"/>
    </row>
    <row r="175" ht="15.75" customHeight="1">
      <c r="B175" s="21"/>
    </row>
    <row r="176" ht="15.75" customHeight="1">
      <c r="B176" s="21"/>
    </row>
    <row r="177" ht="15.75" customHeight="1">
      <c r="B177" s="21"/>
    </row>
    <row r="178" ht="15.75" customHeight="1">
      <c r="B178" s="21"/>
    </row>
    <row r="179" ht="15.75" customHeight="1">
      <c r="B179" s="21"/>
    </row>
    <row r="180" ht="15.75" customHeight="1">
      <c r="B180" s="21"/>
    </row>
    <row r="181" ht="15.75" customHeight="1">
      <c r="B181" s="21"/>
    </row>
    <row r="182" ht="15.75" customHeight="1">
      <c r="B182" s="21"/>
    </row>
    <row r="183" ht="15.75" customHeight="1">
      <c r="B183" s="21"/>
    </row>
    <row r="184" ht="15.75" customHeight="1">
      <c r="B184" s="21"/>
    </row>
    <row r="185" ht="15.75" customHeight="1">
      <c r="B185" s="21"/>
    </row>
    <row r="186" ht="15.75" customHeight="1">
      <c r="B186" s="21"/>
    </row>
    <row r="187" ht="15.75" customHeight="1">
      <c r="B187" s="21"/>
    </row>
    <row r="188" ht="15.75" customHeight="1">
      <c r="B188" s="21"/>
    </row>
    <row r="189" ht="15.75" customHeight="1">
      <c r="B189" s="21"/>
    </row>
    <row r="190" ht="15.75" customHeight="1">
      <c r="B190" s="21"/>
    </row>
    <row r="191" ht="15.75" customHeight="1">
      <c r="B191" s="21"/>
    </row>
    <row r="192" ht="15.75" customHeight="1">
      <c r="B192" s="21"/>
    </row>
    <row r="193" ht="15.75" customHeight="1">
      <c r="B193" s="21"/>
    </row>
    <row r="194" ht="15.75" customHeight="1">
      <c r="B194" s="21"/>
    </row>
    <row r="195" ht="15.75" customHeight="1">
      <c r="B195" s="21"/>
    </row>
    <row r="196" ht="15.75" customHeight="1">
      <c r="B196" s="21"/>
    </row>
    <row r="197" ht="15.75" customHeight="1">
      <c r="B197" s="21"/>
    </row>
    <row r="198" ht="15.75" customHeight="1">
      <c r="B198" s="21"/>
    </row>
    <row r="199" ht="15.75" customHeight="1">
      <c r="B199" s="21"/>
    </row>
    <row r="200" ht="15.75" customHeight="1">
      <c r="B200" s="21"/>
    </row>
    <row r="201" ht="15.75" customHeight="1">
      <c r="B201" s="21"/>
    </row>
    <row r="202" ht="15.75" customHeight="1">
      <c r="B202" s="21"/>
    </row>
    <row r="203" ht="15.75" customHeight="1">
      <c r="B203" s="21"/>
    </row>
    <row r="204" ht="15.75" customHeight="1">
      <c r="B204" s="21"/>
    </row>
    <row r="205" ht="15.75" customHeight="1">
      <c r="B205" s="21"/>
    </row>
    <row r="206" ht="15.75" customHeight="1">
      <c r="B206" s="21"/>
    </row>
    <row r="207" ht="15.75" customHeight="1">
      <c r="B207" s="21"/>
    </row>
    <row r="208" ht="15.75" customHeight="1">
      <c r="B208" s="21"/>
    </row>
    <row r="209" ht="15.75" customHeight="1">
      <c r="B209" s="21"/>
    </row>
    <row r="210" ht="15.75" customHeight="1">
      <c r="B210" s="21"/>
    </row>
    <row r="211" ht="15.75" customHeight="1">
      <c r="B211" s="21"/>
    </row>
    <row r="212" ht="15.75" customHeight="1">
      <c r="B212" s="21"/>
    </row>
    <row r="213" ht="15.75" customHeight="1">
      <c r="B213" s="21"/>
    </row>
    <row r="214" ht="15.75" customHeight="1">
      <c r="B214" s="21"/>
    </row>
    <row r="215" ht="15.75" customHeight="1">
      <c r="B215" s="21"/>
    </row>
    <row r="216" ht="15.75" customHeight="1">
      <c r="B216" s="21"/>
    </row>
    <row r="217" ht="15.75" customHeight="1">
      <c r="B217" s="21"/>
    </row>
    <row r="218" ht="15.75" customHeight="1">
      <c r="B218" s="21"/>
    </row>
    <row r="219" ht="15.75" customHeight="1">
      <c r="B219" s="21"/>
    </row>
    <row r="220" ht="15.75" customHeight="1">
      <c r="B220" s="21"/>
    </row>
    <row r="221" ht="15.75" customHeight="1">
      <c r="B221" s="21"/>
    </row>
    <row r="222" ht="15.75" customHeight="1">
      <c r="B222" s="21"/>
    </row>
    <row r="223" ht="15.75" customHeight="1">
      <c r="B223" s="21"/>
    </row>
    <row r="224" ht="15.75" customHeight="1">
      <c r="B224" s="21"/>
    </row>
    <row r="225" ht="15.75" customHeight="1">
      <c r="B225" s="21"/>
    </row>
    <row r="226" ht="15.75" customHeight="1">
      <c r="B226" s="21"/>
    </row>
    <row r="227" ht="15.75" customHeight="1">
      <c r="B227" s="21"/>
    </row>
    <row r="228" ht="15.75" customHeight="1">
      <c r="B228" s="21"/>
    </row>
    <row r="229" ht="15.75" customHeight="1">
      <c r="B229" s="21"/>
    </row>
    <row r="230" ht="15.75" customHeight="1">
      <c r="B230" s="21"/>
    </row>
    <row r="231" ht="15.75" customHeight="1">
      <c r="B231" s="21"/>
    </row>
    <row r="232" ht="15.75" customHeight="1">
      <c r="B232" s="21"/>
    </row>
    <row r="233" ht="15.75" customHeight="1">
      <c r="B233" s="21"/>
    </row>
    <row r="234" ht="15.75" customHeight="1">
      <c r="B234" s="21"/>
    </row>
    <row r="235" ht="15.75" customHeight="1">
      <c r="B235" s="21"/>
    </row>
    <row r="236" ht="15.75" customHeight="1">
      <c r="B236" s="21"/>
    </row>
    <row r="237" ht="15.75" customHeight="1">
      <c r="B237" s="21"/>
    </row>
    <row r="238" ht="15.75" customHeight="1">
      <c r="B238" s="21"/>
    </row>
    <row r="239" ht="15.75" customHeight="1">
      <c r="B239" s="21"/>
    </row>
    <row r="240" ht="15.75" customHeight="1">
      <c r="B240" s="21"/>
    </row>
    <row r="241" ht="15.75" customHeight="1">
      <c r="B241" s="21"/>
    </row>
    <row r="242" ht="15.75" customHeight="1">
      <c r="B242" s="21"/>
    </row>
    <row r="243" ht="15.75" customHeight="1">
      <c r="B243" s="21"/>
    </row>
    <row r="244" ht="15.75" customHeight="1">
      <c r="B244" s="21"/>
    </row>
    <row r="245" ht="15.75" customHeight="1">
      <c r="B245" s="21"/>
    </row>
    <row r="246" ht="15.75" customHeight="1">
      <c r="B246" s="21"/>
    </row>
    <row r="247" ht="15.75" customHeight="1">
      <c r="B247" s="21"/>
    </row>
    <row r="248" ht="15.75" customHeight="1">
      <c r="B248" s="21"/>
    </row>
    <row r="249" ht="15.75" customHeight="1">
      <c r="B249" s="21"/>
    </row>
    <row r="250" ht="15.75" customHeight="1">
      <c r="B250" s="21"/>
    </row>
    <row r="251" ht="15.75" customHeight="1">
      <c r="B251" s="21"/>
    </row>
    <row r="252" ht="15.75" customHeight="1">
      <c r="B252" s="21"/>
    </row>
    <row r="253" ht="15.75" customHeight="1">
      <c r="B253" s="21"/>
    </row>
    <row r="254" ht="15.75" customHeight="1">
      <c r="B254" s="21"/>
    </row>
    <row r="255" ht="15.75" customHeight="1">
      <c r="B255" s="21"/>
    </row>
    <row r="256" ht="15.75" customHeight="1">
      <c r="B256" s="21"/>
    </row>
    <row r="257" ht="15.75" customHeight="1">
      <c r="B257" s="21"/>
    </row>
    <row r="258" ht="15.75" customHeight="1">
      <c r="B258" s="21"/>
    </row>
    <row r="259" ht="15.75" customHeight="1">
      <c r="B259" s="21"/>
    </row>
    <row r="260" ht="15.75" customHeight="1">
      <c r="B260" s="21"/>
    </row>
    <row r="261" ht="15.75" customHeight="1">
      <c r="B261" s="21"/>
    </row>
    <row r="262" ht="15.75" customHeight="1">
      <c r="B262" s="21"/>
    </row>
    <row r="263" ht="15.75" customHeight="1">
      <c r="B263" s="21"/>
    </row>
    <row r="264" ht="15.75" customHeight="1">
      <c r="B264" s="21"/>
    </row>
    <row r="265" ht="15.75" customHeight="1">
      <c r="B265" s="21"/>
    </row>
    <row r="266" ht="15.75" customHeight="1">
      <c r="B266" s="21"/>
    </row>
    <row r="267" ht="15.75" customHeight="1">
      <c r="B267" s="21"/>
    </row>
    <row r="268" ht="15.75" customHeight="1">
      <c r="B268" s="21"/>
    </row>
    <row r="269" ht="15.75" customHeight="1">
      <c r="B269" s="21"/>
    </row>
    <row r="270" ht="15.75" customHeight="1">
      <c r="B270" s="21"/>
    </row>
    <row r="271" ht="15.75" customHeight="1">
      <c r="B271" s="21"/>
    </row>
    <row r="272" ht="15.75" customHeight="1">
      <c r="B272" s="21"/>
    </row>
    <row r="273" ht="15.75" customHeight="1">
      <c r="B273" s="21"/>
    </row>
    <row r="274" ht="15.75" customHeight="1">
      <c r="B274" s="21"/>
    </row>
    <row r="275" ht="15.75" customHeight="1">
      <c r="B275" s="21"/>
    </row>
    <row r="276" ht="15.75" customHeight="1">
      <c r="B276" s="21"/>
    </row>
    <row r="277" ht="15.75" customHeight="1">
      <c r="B277" s="21"/>
    </row>
    <row r="278" ht="15.75" customHeight="1">
      <c r="B278" s="21"/>
    </row>
    <row r="279" ht="15.75" customHeight="1">
      <c r="B279" s="21"/>
    </row>
    <row r="280" ht="15.75" customHeight="1">
      <c r="B280" s="21"/>
    </row>
    <row r="281" ht="15.75" customHeight="1">
      <c r="B281" s="21"/>
    </row>
    <row r="282" ht="15.75" customHeight="1">
      <c r="B282" s="21"/>
    </row>
    <row r="283" ht="15.75" customHeight="1">
      <c r="B283" s="21"/>
    </row>
    <row r="284" ht="15.75" customHeight="1">
      <c r="B284" s="21"/>
    </row>
    <row r="285" ht="15.75" customHeight="1">
      <c r="B285" s="21"/>
    </row>
    <row r="286" ht="15.75" customHeight="1">
      <c r="B286" s="21"/>
    </row>
    <row r="287" ht="15.75" customHeight="1">
      <c r="B287" s="21"/>
    </row>
    <row r="288" ht="15.75" customHeight="1">
      <c r="B288" s="21"/>
    </row>
    <row r="289" ht="15.75" customHeight="1">
      <c r="B289" s="21"/>
    </row>
    <row r="290" ht="15.75" customHeight="1">
      <c r="B290" s="21"/>
    </row>
    <row r="291" ht="15.75" customHeight="1">
      <c r="B291" s="21"/>
    </row>
    <row r="292" ht="15.75" customHeight="1">
      <c r="B292" s="21"/>
    </row>
    <row r="293" ht="15.75" customHeight="1">
      <c r="B293" s="21"/>
    </row>
    <row r="294" ht="15.75" customHeight="1">
      <c r="B294" s="21"/>
    </row>
    <row r="295" ht="15.75" customHeight="1">
      <c r="B295" s="21"/>
    </row>
    <row r="296" ht="15.75" customHeight="1">
      <c r="B296" s="21"/>
    </row>
    <row r="297" ht="15.75" customHeight="1">
      <c r="B297" s="21"/>
    </row>
    <row r="298" ht="15.75" customHeight="1">
      <c r="B298" s="21"/>
    </row>
    <row r="299" ht="15.75" customHeight="1">
      <c r="B299" s="21"/>
    </row>
    <row r="300" ht="15.75" customHeight="1">
      <c r="B300" s="21"/>
    </row>
    <row r="301" ht="15.75" customHeight="1">
      <c r="B301" s="21"/>
    </row>
    <row r="302" ht="15.75" customHeight="1">
      <c r="B302" s="21"/>
    </row>
    <row r="303" ht="15.75" customHeight="1">
      <c r="B303" s="21"/>
    </row>
    <row r="304" ht="15.75" customHeight="1">
      <c r="B304" s="21"/>
    </row>
    <row r="305" ht="15.75" customHeight="1">
      <c r="B305" s="21"/>
    </row>
    <row r="306" ht="15.75" customHeight="1">
      <c r="B306" s="21"/>
    </row>
    <row r="307" ht="15.75" customHeight="1">
      <c r="B307" s="21"/>
    </row>
    <row r="308" ht="15.75" customHeight="1">
      <c r="B308" s="21"/>
    </row>
    <row r="309" ht="15.75" customHeight="1">
      <c r="B309" s="21"/>
    </row>
    <row r="310" ht="15.75" customHeight="1">
      <c r="B310" s="21"/>
    </row>
    <row r="311" ht="15.75" customHeight="1">
      <c r="B311" s="21"/>
    </row>
    <row r="312" ht="15.75" customHeight="1">
      <c r="B312" s="21"/>
    </row>
    <row r="313" ht="15.75" customHeight="1">
      <c r="B313" s="21"/>
    </row>
    <row r="314" ht="15.75" customHeight="1">
      <c r="B314" s="21"/>
    </row>
    <row r="315" ht="15.75" customHeight="1">
      <c r="B315" s="21"/>
    </row>
    <row r="316" ht="15.75" customHeight="1">
      <c r="B316" s="21"/>
    </row>
    <row r="317" ht="15.75" customHeight="1">
      <c r="B317" s="21"/>
    </row>
    <row r="318" ht="15.75" customHeight="1">
      <c r="B318" s="21"/>
    </row>
    <row r="319" ht="15.75" customHeight="1">
      <c r="B319" s="21"/>
    </row>
    <row r="320" ht="15.75" customHeight="1">
      <c r="B320" s="21"/>
    </row>
    <row r="321" ht="15.75" customHeight="1">
      <c r="B321" s="21"/>
    </row>
    <row r="322" ht="15.75" customHeight="1">
      <c r="B322" s="21"/>
    </row>
    <row r="323" ht="15.75" customHeight="1">
      <c r="B323" s="21"/>
    </row>
    <row r="324" ht="15.75" customHeight="1">
      <c r="B324" s="21"/>
    </row>
    <row r="325" ht="15.75" customHeight="1">
      <c r="B325" s="21"/>
    </row>
    <row r="326" ht="15.75" customHeight="1">
      <c r="B326" s="21"/>
    </row>
    <row r="327" ht="15.75" customHeight="1">
      <c r="B327" s="21"/>
    </row>
    <row r="328" ht="15.75" customHeight="1">
      <c r="B328" s="21"/>
    </row>
    <row r="329" ht="15.75" customHeight="1">
      <c r="B329" s="21"/>
    </row>
    <row r="330" ht="15.75" customHeight="1">
      <c r="B330" s="21"/>
    </row>
    <row r="331" ht="15.75" customHeight="1">
      <c r="B331" s="21"/>
    </row>
    <row r="332" ht="15.75" customHeight="1">
      <c r="B332" s="21"/>
    </row>
    <row r="333" ht="15.75" customHeight="1">
      <c r="B333" s="21"/>
    </row>
    <row r="334" ht="15.75" customHeight="1">
      <c r="B334" s="21"/>
    </row>
    <row r="335" ht="15.75" customHeight="1">
      <c r="B335" s="21"/>
    </row>
    <row r="336" ht="15.75" customHeight="1">
      <c r="B336" s="21"/>
    </row>
    <row r="337" ht="15.75" customHeight="1">
      <c r="B337" s="21"/>
    </row>
    <row r="338" ht="15.75" customHeight="1">
      <c r="B338" s="21"/>
    </row>
    <row r="339" ht="15.75" customHeight="1">
      <c r="B339" s="21"/>
    </row>
    <row r="340" ht="15.75" customHeight="1">
      <c r="B340" s="21"/>
    </row>
    <row r="341" ht="15.75" customHeight="1">
      <c r="B341" s="21"/>
    </row>
    <row r="342" ht="15.75" customHeight="1">
      <c r="B342" s="21"/>
    </row>
    <row r="343" ht="15.75" customHeight="1">
      <c r="B343" s="21"/>
    </row>
    <row r="344" ht="15.75" customHeight="1">
      <c r="B344" s="21"/>
    </row>
    <row r="345" ht="15.75" customHeight="1">
      <c r="B345" s="21"/>
    </row>
    <row r="346" ht="15.75" customHeight="1">
      <c r="B346" s="21"/>
    </row>
    <row r="347" ht="15.75" customHeight="1">
      <c r="B347" s="21"/>
    </row>
    <row r="348" ht="15.75" customHeight="1">
      <c r="B348" s="21"/>
    </row>
    <row r="349" ht="15.75" customHeight="1">
      <c r="B349" s="21"/>
    </row>
    <row r="350" ht="15.75" customHeight="1">
      <c r="B350" s="21"/>
    </row>
    <row r="351" ht="15.75" customHeight="1">
      <c r="B351" s="21"/>
    </row>
    <row r="352" ht="15.75" customHeight="1">
      <c r="B352" s="21"/>
    </row>
    <row r="353" ht="15.75" customHeight="1">
      <c r="B353" s="21"/>
    </row>
    <row r="354" ht="15.75" customHeight="1">
      <c r="B354" s="21"/>
    </row>
    <row r="355" ht="15.75" customHeight="1">
      <c r="B355" s="21"/>
    </row>
    <row r="356" ht="15.75" customHeight="1">
      <c r="B356" s="21"/>
    </row>
    <row r="357" ht="15.75" customHeight="1">
      <c r="B357" s="21"/>
    </row>
    <row r="358" ht="15.75" customHeight="1">
      <c r="B358" s="21"/>
    </row>
    <row r="359" ht="15.75" customHeight="1">
      <c r="B359" s="21"/>
    </row>
    <row r="360" ht="15.75" customHeight="1">
      <c r="B360" s="21"/>
    </row>
    <row r="361" ht="15.75" customHeight="1">
      <c r="B361" s="21"/>
    </row>
    <row r="362" ht="15.75" customHeight="1">
      <c r="B362" s="21"/>
    </row>
    <row r="363" ht="15.75" customHeight="1">
      <c r="B363" s="21"/>
    </row>
    <row r="364" ht="15.75" customHeight="1">
      <c r="B364" s="21"/>
    </row>
    <row r="365" ht="15.75" customHeight="1">
      <c r="B365" s="21"/>
    </row>
    <row r="366" ht="15.75" customHeight="1">
      <c r="B366" s="21"/>
    </row>
    <row r="367" ht="15.75" customHeight="1">
      <c r="B367" s="21"/>
    </row>
    <row r="368" ht="15.75" customHeight="1">
      <c r="B368" s="21"/>
    </row>
    <row r="369" ht="15.75" customHeight="1">
      <c r="B369" s="21"/>
    </row>
    <row r="370" ht="15.75" customHeight="1">
      <c r="B370" s="21"/>
    </row>
    <row r="371" ht="15.75" customHeight="1">
      <c r="B371" s="21"/>
    </row>
    <row r="372" ht="15.75" customHeight="1">
      <c r="B372" s="21"/>
    </row>
    <row r="373" ht="15.75" customHeight="1">
      <c r="B373" s="21"/>
    </row>
    <row r="374" ht="15.75" customHeight="1">
      <c r="B374" s="21"/>
    </row>
    <row r="375" ht="15.75" customHeight="1">
      <c r="B375" s="21"/>
    </row>
    <row r="376" ht="15.75" customHeight="1">
      <c r="B376" s="21"/>
    </row>
    <row r="377" ht="15.75" customHeight="1">
      <c r="B377" s="21"/>
    </row>
    <row r="378" ht="15.75" customHeight="1">
      <c r="B378" s="21"/>
    </row>
    <row r="379" ht="15.75" customHeight="1">
      <c r="B379" s="21"/>
    </row>
    <row r="380" ht="15.75" customHeight="1">
      <c r="B380" s="21"/>
    </row>
    <row r="381" ht="15.75" customHeight="1">
      <c r="B381" s="21"/>
    </row>
    <row r="382" ht="15.75" customHeight="1">
      <c r="B382" s="21"/>
    </row>
    <row r="383" ht="15.75" customHeight="1">
      <c r="B383" s="21"/>
    </row>
    <row r="384" ht="15.75" customHeight="1">
      <c r="B384" s="21"/>
    </row>
    <row r="385" ht="15.75" customHeight="1">
      <c r="B385" s="21"/>
    </row>
    <row r="386" ht="15.75" customHeight="1">
      <c r="B386" s="21"/>
    </row>
    <row r="387" ht="15.75" customHeight="1">
      <c r="B387" s="21"/>
    </row>
    <row r="388" ht="15.75" customHeight="1">
      <c r="B388" s="21"/>
    </row>
    <row r="389" ht="15.75" customHeight="1">
      <c r="B389" s="21"/>
    </row>
    <row r="390" ht="15.75" customHeight="1">
      <c r="B390" s="21"/>
    </row>
    <row r="391" ht="15.75" customHeight="1">
      <c r="B391" s="21"/>
    </row>
    <row r="392" ht="15.75" customHeight="1">
      <c r="B392" s="21"/>
    </row>
    <row r="393" ht="15.75" customHeight="1">
      <c r="B393" s="21"/>
    </row>
    <row r="394" ht="15.75" customHeight="1">
      <c r="B394" s="21"/>
    </row>
    <row r="395" ht="15.75" customHeight="1">
      <c r="B395" s="21"/>
    </row>
    <row r="396" ht="15.75" customHeight="1">
      <c r="B396" s="21"/>
    </row>
    <row r="397" ht="15.75" customHeight="1">
      <c r="B397" s="21"/>
    </row>
    <row r="398" ht="15.75" customHeight="1">
      <c r="B398" s="21"/>
    </row>
    <row r="399" ht="15.75" customHeight="1">
      <c r="B399" s="21"/>
    </row>
    <row r="400" ht="15.75" customHeight="1">
      <c r="B400" s="21"/>
    </row>
    <row r="401" ht="15.75" customHeight="1">
      <c r="B401" s="21"/>
    </row>
    <row r="402" ht="15.75" customHeight="1">
      <c r="B402" s="21"/>
    </row>
    <row r="403" ht="15.75" customHeight="1">
      <c r="B403" s="21"/>
    </row>
    <row r="404" ht="15.75" customHeight="1">
      <c r="B404" s="21"/>
    </row>
    <row r="405" ht="15.75" customHeight="1">
      <c r="B405" s="21"/>
    </row>
    <row r="406" ht="15.75" customHeight="1">
      <c r="B406" s="21"/>
    </row>
    <row r="407" ht="15.75" customHeight="1">
      <c r="B407" s="21"/>
    </row>
    <row r="408" ht="15.75" customHeight="1">
      <c r="B408" s="21"/>
    </row>
    <row r="409" ht="15.75" customHeight="1">
      <c r="B409" s="21"/>
    </row>
    <row r="410" ht="15.75" customHeight="1">
      <c r="B410" s="21"/>
    </row>
    <row r="411" ht="15.75" customHeight="1">
      <c r="B411" s="21"/>
    </row>
    <row r="412" ht="15.75" customHeight="1">
      <c r="B412" s="21"/>
    </row>
    <row r="413" ht="15.75" customHeight="1">
      <c r="B413" s="21"/>
    </row>
    <row r="414" ht="15.75" customHeight="1">
      <c r="B414" s="21"/>
    </row>
    <row r="415" ht="15.75" customHeight="1">
      <c r="B415" s="21"/>
    </row>
    <row r="416" ht="15.75" customHeight="1">
      <c r="B416" s="21"/>
    </row>
    <row r="417" ht="15.75" customHeight="1">
      <c r="B417" s="21"/>
    </row>
    <row r="418" ht="15.75" customHeight="1">
      <c r="B418" s="21"/>
    </row>
    <row r="419" ht="15.75" customHeight="1">
      <c r="B419" s="21"/>
    </row>
    <row r="420" ht="15.75" customHeight="1">
      <c r="B420" s="21"/>
    </row>
    <row r="421" ht="15.75" customHeight="1">
      <c r="B421" s="21"/>
    </row>
    <row r="422" ht="15.75" customHeight="1">
      <c r="B422" s="21"/>
    </row>
    <row r="423" ht="15.75" customHeight="1">
      <c r="B423" s="21"/>
    </row>
    <row r="424" ht="15.75" customHeight="1">
      <c r="B424" s="21"/>
    </row>
    <row r="425" ht="15.75" customHeight="1">
      <c r="B425" s="21"/>
    </row>
    <row r="426" ht="15.75" customHeight="1">
      <c r="B426" s="21"/>
    </row>
    <row r="427" ht="15.75" customHeight="1">
      <c r="B427" s="21"/>
    </row>
    <row r="428" ht="15.75" customHeight="1">
      <c r="B428" s="21"/>
    </row>
    <row r="429" ht="15.75" customHeight="1">
      <c r="B429" s="21"/>
    </row>
    <row r="430" ht="15.75" customHeight="1">
      <c r="B430" s="21"/>
    </row>
    <row r="431" ht="15.75" customHeight="1">
      <c r="B431" s="21"/>
    </row>
    <row r="432" ht="15.75" customHeight="1">
      <c r="B432" s="21"/>
    </row>
    <row r="433" ht="15.75" customHeight="1">
      <c r="B433" s="21"/>
    </row>
    <row r="434" ht="15.75" customHeight="1">
      <c r="B434" s="21"/>
    </row>
    <row r="435" ht="15.75" customHeight="1">
      <c r="B435" s="21"/>
    </row>
    <row r="436" ht="15.75" customHeight="1">
      <c r="B436" s="21"/>
    </row>
    <row r="437" ht="15.75" customHeight="1">
      <c r="B437" s="21"/>
    </row>
    <row r="438" ht="15.75" customHeight="1">
      <c r="B438" s="21"/>
    </row>
    <row r="439" ht="15.75" customHeight="1">
      <c r="B439" s="21"/>
    </row>
    <row r="440" ht="15.75" customHeight="1">
      <c r="B440" s="21"/>
    </row>
    <row r="441" ht="15.75" customHeight="1">
      <c r="B441" s="21"/>
    </row>
    <row r="442" ht="15.75" customHeight="1">
      <c r="B442" s="21"/>
    </row>
    <row r="443" ht="15.75" customHeight="1">
      <c r="B443" s="21"/>
    </row>
    <row r="444" ht="15.75" customHeight="1">
      <c r="B444" s="21"/>
    </row>
    <row r="445" ht="15.75" customHeight="1">
      <c r="B445" s="21"/>
    </row>
    <row r="446" ht="15.75" customHeight="1">
      <c r="B446" s="21"/>
    </row>
    <row r="447" ht="15.75" customHeight="1">
      <c r="B447" s="21"/>
    </row>
    <row r="448" ht="15.75" customHeight="1">
      <c r="B448" s="21"/>
    </row>
    <row r="449" ht="15.75" customHeight="1">
      <c r="B449" s="21"/>
    </row>
    <row r="450" ht="15.75" customHeight="1">
      <c r="B450" s="21"/>
    </row>
    <row r="451" ht="15.75" customHeight="1">
      <c r="B451" s="21"/>
    </row>
    <row r="452" ht="15.75" customHeight="1">
      <c r="B452" s="21"/>
    </row>
    <row r="453" ht="15.75" customHeight="1">
      <c r="B453" s="21"/>
    </row>
    <row r="454" ht="15.75" customHeight="1">
      <c r="B454" s="21"/>
    </row>
    <row r="455" ht="15.75" customHeight="1">
      <c r="B455" s="21"/>
    </row>
    <row r="456" ht="15.75" customHeight="1">
      <c r="B456" s="21"/>
    </row>
    <row r="457" ht="15.75" customHeight="1">
      <c r="B457" s="21"/>
    </row>
    <row r="458" ht="15.75" customHeight="1">
      <c r="B458" s="21"/>
    </row>
    <row r="459" ht="15.75" customHeight="1">
      <c r="B459" s="21"/>
    </row>
    <row r="460" ht="15.75" customHeight="1">
      <c r="B460" s="21"/>
    </row>
    <row r="461" ht="15.75" customHeight="1">
      <c r="B461" s="21"/>
    </row>
    <row r="462" ht="15.75" customHeight="1">
      <c r="B462" s="21"/>
    </row>
    <row r="463" ht="15.75" customHeight="1">
      <c r="B463" s="21"/>
    </row>
    <row r="464" ht="15.75" customHeight="1">
      <c r="B464" s="21"/>
    </row>
    <row r="465" ht="15.75" customHeight="1">
      <c r="B465" s="21"/>
    </row>
    <row r="466" ht="15.75" customHeight="1">
      <c r="B466" s="21"/>
    </row>
    <row r="467" ht="15.75" customHeight="1">
      <c r="B467" s="21"/>
    </row>
    <row r="468" ht="15.75" customHeight="1">
      <c r="B468" s="21"/>
    </row>
    <row r="469" ht="15.75" customHeight="1">
      <c r="B469" s="21"/>
    </row>
    <row r="470" ht="15.75" customHeight="1">
      <c r="B470" s="21"/>
    </row>
    <row r="471" ht="15.75" customHeight="1">
      <c r="B471" s="21"/>
    </row>
    <row r="472" ht="15.75" customHeight="1">
      <c r="B472" s="21"/>
    </row>
    <row r="473" ht="15.75" customHeight="1">
      <c r="B473" s="21"/>
    </row>
    <row r="474" ht="15.75" customHeight="1">
      <c r="B474" s="21"/>
    </row>
    <row r="475" ht="15.75" customHeight="1">
      <c r="B475" s="21"/>
    </row>
    <row r="476" ht="15.75" customHeight="1">
      <c r="B476" s="21"/>
    </row>
    <row r="477" ht="15.75" customHeight="1">
      <c r="B477" s="21"/>
    </row>
    <row r="478" ht="15.75" customHeight="1">
      <c r="B478" s="21"/>
    </row>
    <row r="479" ht="15.75" customHeight="1">
      <c r="B479" s="21"/>
    </row>
    <row r="480" ht="15.75" customHeight="1">
      <c r="B480" s="21"/>
    </row>
    <row r="481" ht="15.75" customHeight="1">
      <c r="B481" s="21"/>
    </row>
    <row r="482" ht="15.75" customHeight="1">
      <c r="B482" s="21"/>
    </row>
    <row r="483" ht="15.75" customHeight="1">
      <c r="B483" s="21"/>
    </row>
    <row r="484" ht="15.75" customHeight="1">
      <c r="B484" s="21"/>
    </row>
    <row r="485" ht="15.75" customHeight="1">
      <c r="B485" s="21"/>
    </row>
    <row r="486" ht="15.75" customHeight="1">
      <c r="B486" s="21"/>
    </row>
    <row r="487" ht="15.75" customHeight="1">
      <c r="B487" s="21"/>
    </row>
    <row r="488" ht="15.75" customHeight="1">
      <c r="B488" s="21"/>
    </row>
    <row r="489" ht="15.75" customHeight="1">
      <c r="B489" s="21"/>
    </row>
    <row r="490" ht="15.75" customHeight="1">
      <c r="B490" s="21"/>
    </row>
    <row r="491" ht="15.75" customHeight="1">
      <c r="B491" s="21"/>
    </row>
    <row r="492" ht="15.75" customHeight="1">
      <c r="B492" s="21"/>
    </row>
    <row r="493" ht="15.75" customHeight="1">
      <c r="B493" s="21"/>
    </row>
    <row r="494" ht="15.75" customHeight="1">
      <c r="B494" s="21"/>
    </row>
    <row r="495" ht="15.75" customHeight="1">
      <c r="B495" s="21"/>
    </row>
    <row r="496" ht="15.75" customHeight="1">
      <c r="B496" s="21"/>
    </row>
    <row r="497" ht="15.75" customHeight="1">
      <c r="B497" s="21"/>
    </row>
    <row r="498" ht="15.75" customHeight="1">
      <c r="B498" s="21"/>
    </row>
    <row r="499" ht="15.75" customHeight="1">
      <c r="B499" s="21"/>
    </row>
    <row r="500" ht="15.75" customHeight="1">
      <c r="B500" s="21"/>
    </row>
    <row r="501" ht="15.75" customHeight="1">
      <c r="B501" s="21"/>
    </row>
    <row r="502" ht="15.75" customHeight="1">
      <c r="B502" s="21"/>
    </row>
    <row r="503" ht="15.75" customHeight="1">
      <c r="B503" s="21"/>
    </row>
    <row r="504" ht="15.75" customHeight="1">
      <c r="B504" s="21"/>
    </row>
    <row r="505" ht="15.75" customHeight="1">
      <c r="B505" s="21"/>
    </row>
    <row r="506" ht="15.75" customHeight="1">
      <c r="B506" s="21"/>
    </row>
    <row r="507" ht="15.75" customHeight="1">
      <c r="B507" s="21"/>
    </row>
    <row r="508" ht="15.75" customHeight="1">
      <c r="B508" s="21"/>
    </row>
    <row r="509" ht="15.75" customHeight="1">
      <c r="B509" s="21"/>
    </row>
    <row r="510" ht="15.75" customHeight="1">
      <c r="B510" s="21"/>
    </row>
    <row r="511" ht="15.75" customHeight="1">
      <c r="B511" s="21"/>
    </row>
    <row r="512" ht="15.75" customHeight="1">
      <c r="B512" s="21"/>
    </row>
    <row r="513" ht="15.75" customHeight="1">
      <c r="B513" s="21"/>
    </row>
    <row r="514" ht="15.75" customHeight="1">
      <c r="B514" s="21"/>
    </row>
    <row r="515" ht="15.75" customHeight="1">
      <c r="B515" s="21"/>
    </row>
    <row r="516" ht="15.75" customHeight="1">
      <c r="B516" s="21"/>
    </row>
    <row r="517" ht="15.75" customHeight="1">
      <c r="B517" s="21"/>
    </row>
    <row r="518" ht="15.75" customHeight="1">
      <c r="B518" s="21"/>
    </row>
    <row r="519" ht="15.75" customHeight="1">
      <c r="B519" s="21"/>
    </row>
    <row r="520" ht="15.75" customHeight="1">
      <c r="B520" s="21"/>
    </row>
    <row r="521" ht="15.75" customHeight="1">
      <c r="B521" s="21"/>
    </row>
    <row r="522" ht="15.75" customHeight="1">
      <c r="B522" s="21"/>
    </row>
    <row r="523" ht="15.75" customHeight="1">
      <c r="B523" s="21"/>
    </row>
    <row r="524" ht="15.75" customHeight="1">
      <c r="B524" s="21"/>
    </row>
    <row r="525" ht="15.75" customHeight="1">
      <c r="B525" s="21"/>
    </row>
    <row r="526" ht="15.75" customHeight="1">
      <c r="B526" s="21"/>
    </row>
    <row r="527" ht="15.75" customHeight="1">
      <c r="B527" s="21"/>
    </row>
    <row r="528" ht="15.75" customHeight="1">
      <c r="B528" s="21"/>
    </row>
    <row r="529" ht="15.75" customHeight="1">
      <c r="B529" s="21"/>
    </row>
    <row r="530" ht="15.75" customHeight="1">
      <c r="B530" s="21"/>
    </row>
    <row r="531" ht="15.75" customHeight="1">
      <c r="B531" s="21"/>
    </row>
    <row r="532" ht="15.75" customHeight="1">
      <c r="B532" s="21"/>
    </row>
    <row r="533" ht="15.75" customHeight="1">
      <c r="B533" s="21"/>
    </row>
    <row r="534" ht="15.75" customHeight="1">
      <c r="B534" s="21"/>
    </row>
    <row r="535" ht="15.75" customHeight="1">
      <c r="B535" s="21"/>
    </row>
    <row r="536" ht="15.75" customHeight="1">
      <c r="B536" s="21"/>
    </row>
    <row r="537" ht="15.75" customHeight="1">
      <c r="B537" s="21"/>
    </row>
    <row r="538" ht="15.75" customHeight="1">
      <c r="B538" s="21"/>
    </row>
    <row r="539" ht="15.75" customHeight="1">
      <c r="B539" s="21"/>
    </row>
    <row r="540" ht="15.75" customHeight="1">
      <c r="B540" s="21"/>
    </row>
    <row r="541" ht="15.75" customHeight="1">
      <c r="B541" s="21"/>
    </row>
    <row r="542" ht="15.75" customHeight="1">
      <c r="B542" s="21"/>
    </row>
    <row r="543" ht="15.75" customHeight="1">
      <c r="B543" s="21"/>
    </row>
    <row r="544" ht="15.75" customHeight="1">
      <c r="B544" s="21"/>
    </row>
    <row r="545" ht="15.75" customHeight="1">
      <c r="B545" s="21"/>
    </row>
    <row r="546" ht="15.75" customHeight="1">
      <c r="B546" s="21"/>
    </row>
    <row r="547" ht="15.75" customHeight="1">
      <c r="B547" s="21"/>
    </row>
    <row r="548" ht="15.75" customHeight="1">
      <c r="B548" s="21"/>
    </row>
    <row r="549" ht="15.75" customHeight="1">
      <c r="B549" s="21"/>
    </row>
    <row r="550" ht="15.75" customHeight="1">
      <c r="B550" s="21"/>
    </row>
    <row r="551" ht="15.75" customHeight="1">
      <c r="B551" s="21"/>
    </row>
    <row r="552" ht="15.75" customHeight="1">
      <c r="B552" s="21"/>
    </row>
    <row r="553" ht="15.75" customHeight="1">
      <c r="B553" s="21"/>
    </row>
    <row r="554" ht="15.75" customHeight="1">
      <c r="B554" s="21"/>
    </row>
    <row r="555" ht="15.75" customHeight="1">
      <c r="B555" s="21"/>
    </row>
    <row r="556" ht="15.75" customHeight="1">
      <c r="B556" s="21"/>
    </row>
    <row r="557" ht="15.75" customHeight="1">
      <c r="B557" s="21"/>
    </row>
    <row r="558" ht="15.75" customHeight="1">
      <c r="B558" s="21"/>
    </row>
    <row r="559" ht="15.75" customHeight="1">
      <c r="B559" s="21"/>
    </row>
    <row r="560" ht="15.75" customHeight="1">
      <c r="B560" s="21"/>
    </row>
    <row r="561" ht="15.75" customHeight="1">
      <c r="B561" s="21"/>
    </row>
    <row r="562" ht="15.75" customHeight="1">
      <c r="B562" s="21"/>
    </row>
    <row r="563" ht="15.75" customHeight="1">
      <c r="B563" s="21"/>
    </row>
    <row r="564" ht="15.75" customHeight="1">
      <c r="B564" s="21"/>
    </row>
    <row r="565" ht="15.75" customHeight="1">
      <c r="B565" s="21"/>
    </row>
    <row r="566" ht="15.75" customHeight="1">
      <c r="B566" s="21"/>
    </row>
    <row r="567" ht="15.75" customHeight="1">
      <c r="B567" s="21"/>
    </row>
    <row r="568" ht="15.75" customHeight="1">
      <c r="B568" s="21"/>
    </row>
    <row r="569" ht="15.75" customHeight="1">
      <c r="B569" s="21"/>
    </row>
    <row r="570" ht="15.75" customHeight="1">
      <c r="B570" s="21"/>
    </row>
    <row r="571" ht="15.75" customHeight="1">
      <c r="B571" s="21"/>
    </row>
    <row r="572" ht="15.75" customHeight="1">
      <c r="B572" s="21"/>
    </row>
    <row r="573" ht="15.75" customHeight="1">
      <c r="B573" s="21"/>
    </row>
    <row r="574" ht="15.75" customHeight="1">
      <c r="B574" s="21"/>
    </row>
    <row r="575" ht="15.75" customHeight="1">
      <c r="B575" s="21"/>
    </row>
    <row r="576" ht="15.75" customHeight="1">
      <c r="B576" s="21"/>
    </row>
    <row r="577" ht="15.75" customHeight="1">
      <c r="B577" s="21"/>
    </row>
    <row r="578" ht="15.75" customHeight="1">
      <c r="B578" s="21"/>
    </row>
    <row r="579" ht="15.75" customHeight="1">
      <c r="B579" s="21"/>
    </row>
    <row r="580" ht="15.75" customHeight="1">
      <c r="B580" s="21"/>
    </row>
    <row r="581" ht="15.75" customHeight="1">
      <c r="B581" s="21"/>
    </row>
    <row r="582" ht="15.75" customHeight="1">
      <c r="B582" s="21"/>
    </row>
    <row r="583" ht="15.75" customHeight="1">
      <c r="B583" s="21"/>
    </row>
    <row r="584" ht="15.75" customHeight="1">
      <c r="B584" s="21"/>
    </row>
    <row r="585" ht="15.75" customHeight="1">
      <c r="B585" s="21"/>
    </row>
    <row r="586" ht="15.75" customHeight="1">
      <c r="B586" s="21"/>
    </row>
    <row r="587" ht="15.75" customHeight="1">
      <c r="B587" s="21"/>
    </row>
    <row r="588" ht="15.75" customHeight="1">
      <c r="B588" s="21"/>
    </row>
    <row r="589" ht="15.75" customHeight="1">
      <c r="B589" s="21"/>
    </row>
    <row r="590" ht="15.75" customHeight="1">
      <c r="B590" s="21"/>
    </row>
    <row r="591" ht="15.75" customHeight="1">
      <c r="B591" s="21"/>
    </row>
    <row r="592" ht="15.75" customHeight="1">
      <c r="B592" s="21"/>
    </row>
    <row r="593" ht="15.75" customHeight="1">
      <c r="B593" s="21"/>
    </row>
    <row r="594" ht="15.75" customHeight="1">
      <c r="B594" s="21"/>
    </row>
    <row r="595" ht="15.75" customHeight="1">
      <c r="B595" s="21"/>
    </row>
    <row r="596" ht="15.75" customHeight="1">
      <c r="B596" s="21"/>
    </row>
    <row r="597" ht="15.75" customHeight="1">
      <c r="B597" s="21"/>
    </row>
    <row r="598" ht="15.75" customHeight="1">
      <c r="B598" s="21"/>
    </row>
    <row r="599" ht="15.75" customHeight="1">
      <c r="B599" s="21"/>
    </row>
    <row r="600" ht="15.75" customHeight="1">
      <c r="B600" s="21"/>
    </row>
    <row r="601" ht="15.75" customHeight="1">
      <c r="B601" s="21"/>
    </row>
    <row r="602" ht="15.75" customHeight="1">
      <c r="B602" s="21"/>
    </row>
    <row r="603" ht="15.75" customHeight="1">
      <c r="B603" s="21"/>
    </row>
    <row r="604" ht="15.75" customHeight="1">
      <c r="B604" s="21"/>
    </row>
    <row r="605" ht="15.75" customHeight="1">
      <c r="B605" s="21"/>
    </row>
    <row r="606" ht="15.75" customHeight="1">
      <c r="B606" s="21"/>
    </row>
    <row r="607" ht="15.75" customHeight="1">
      <c r="B607" s="21"/>
    </row>
    <row r="608" ht="15.75" customHeight="1">
      <c r="B608" s="21"/>
    </row>
    <row r="609" ht="15.75" customHeight="1">
      <c r="B609" s="21"/>
    </row>
    <row r="610" ht="15.75" customHeight="1">
      <c r="B610" s="21"/>
    </row>
    <row r="611" ht="15.75" customHeight="1">
      <c r="B611" s="21"/>
    </row>
    <row r="612" ht="15.75" customHeight="1">
      <c r="B612" s="21"/>
    </row>
    <row r="613" ht="15.75" customHeight="1">
      <c r="B613" s="21"/>
    </row>
    <row r="614" ht="15.75" customHeight="1">
      <c r="B614" s="21"/>
    </row>
    <row r="615" ht="15.75" customHeight="1">
      <c r="B615" s="21"/>
    </row>
    <row r="616" ht="15.75" customHeight="1">
      <c r="B616" s="21"/>
    </row>
    <row r="617" ht="15.75" customHeight="1">
      <c r="B617" s="21"/>
    </row>
    <row r="618" ht="15.75" customHeight="1">
      <c r="B618" s="21"/>
    </row>
    <row r="619" ht="15.75" customHeight="1">
      <c r="B619" s="21"/>
    </row>
    <row r="620" ht="15.75" customHeight="1">
      <c r="B620" s="21"/>
    </row>
    <row r="621" ht="15.75" customHeight="1">
      <c r="B621" s="21"/>
    </row>
    <row r="622" ht="15.75" customHeight="1">
      <c r="B622" s="21"/>
    </row>
    <row r="623" ht="15.75" customHeight="1">
      <c r="B623" s="21"/>
    </row>
    <row r="624" ht="15.75" customHeight="1">
      <c r="B624" s="21"/>
    </row>
    <row r="625" ht="15.75" customHeight="1">
      <c r="B625" s="21"/>
    </row>
    <row r="626" ht="15.75" customHeight="1">
      <c r="B626" s="21"/>
    </row>
    <row r="627" ht="15.75" customHeight="1">
      <c r="B627" s="21"/>
    </row>
    <row r="628" ht="15.75" customHeight="1">
      <c r="B628" s="21"/>
    </row>
    <row r="629" ht="15.75" customHeight="1">
      <c r="B629" s="21"/>
    </row>
    <row r="630" ht="15.75" customHeight="1">
      <c r="B630" s="21"/>
    </row>
    <row r="631" ht="15.75" customHeight="1">
      <c r="B631" s="21"/>
    </row>
    <row r="632" ht="15.75" customHeight="1">
      <c r="B632" s="21"/>
    </row>
    <row r="633" ht="15.75" customHeight="1">
      <c r="B633" s="21"/>
    </row>
    <row r="634" ht="15.75" customHeight="1">
      <c r="B634" s="21"/>
    </row>
    <row r="635" ht="15.75" customHeight="1">
      <c r="B635" s="21"/>
    </row>
    <row r="636" ht="15.75" customHeight="1">
      <c r="B636" s="21"/>
    </row>
    <row r="637" ht="15.75" customHeight="1">
      <c r="B637" s="21"/>
    </row>
    <row r="638" ht="15.75" customHeight="1">
      <c r="B638" s="21"/>
    </row>
    <row r="639" ht="15.75" customHeight="1">
      <c r="B639" s="21"/>
    </row>
    <row r="640" ht="15.75" customHeight="1">
      <c r="B640" s="21"/>
    </row>
    <row r="641" ht="15.75" customHeight="1">
      <c r="B641" s="21"/>
    </row>
    <row r="642" ht="15.75" customHeight="1">
      <c r="B642" s="21"/>
    </row>
    <row r="643" ht="15.75" customHeight="1">
      <c r="B643" s="21"/>
    </row>
    <row r="644" ht="15.75" customHeight="1">
      <c r="B644" s="21"/>
    </row>
    <row r="645" ht="15.75" customHeight="1">
      <c r="B645" s="21"/>
    </row>
    <row r="646" ht="15.75" customHeight="1">
      <c r="B646" s="21"/>
    </row>
    <row r="647" ht="15.75" customHeight="1">
      <c r="B647" s="21"/>
    </row>
    <row r="648" ht="15.75" customHeight="1">
      <c r="B648" s="21"/>
    </row>
    <row r="649" ht="15.75" customHeight="1">
      <c r="B649" s="21"/>
    </row>
    <row r="650" ht="15.75" customHeight="1">
      <c r="B650" s="21"/>
    </row>
    <row r="651" ht="15.75" customHeight="1">
      <c r="B651" s="21"/>
    </row>
    <row r="652" ht="15.75" customHeight="1">
      <c r="B652" s="21"/>
    </row>
    <row r="653" ht="15.75" customHeight="1">
      <c r="B653" s="21"/>
    </row>
    <row r="654" ht="15.75" customHeight="1">
      <c r="B654" s="21"/>
    </row>
    <row r="655" ht="15.75" customHeight="1">
      <c r="B655" s="21"/>
    </row>
    <row r="656" ht="15.75" customHeight="1">
      <c r="B656" s="21"/>
    </row>
    <row r="657" ht="15.75" customHeight="1">
      <c r="B657" s="21"/>
    </row>
    <row r="658" ht="15.75" customHeight="1">
      <c r="B658" s="21"/>
    </row>
    <row r="659" ht="15.75" customHeight="1">
      <c r="B659" s="21"/>
    </row>
    <row r="660" ht="15.75" customHeight="1">
      <c r="B660" s="21"/>
    </row>
    <row r="661" ht="15.75" customHeight="1">
      <c r="B661" s="21"/>
    </row>
    <row r="662" ht="15.75" customHeight="1">
      <c r="B662" s="21"/>
    </row>
    <row r="663" ht="15.75" customHeight="1">
      <c r="B663" s="21"/>
    </row>
    <row r="664" ht="15.75" customHeight="1">
      <c r="B664" s="21"/>
    </row>
    <row r="665" ht="15.75" customHeight="1">
      <c r="B665" s="21"/>
    </row>
    <row r="666" ht="15.75" customHeight="1">
      <c r="B666" s="21"/>
    </row>
    <row r="667" ht="15.75" customHeight="1">
      <c r="B667" s="21"/>
    </row>
    <row r="668" ht="15.75" customHeight="1">
      <c r="B668" s="21"/>
    </row>
    <row r="669" ht="15.75" customHeight="1">
      <c r="B669" s="21"/>
    </row>
    <row r="670" ht="15.75" customHeight="1">
      <c r="B670" s="21"/>
    </row>
    <row r="671" ht="15.75" customHeight="1">
      <c r="B671" s="21"/>
    </row>
    <row r="672" ht="15.75" customHeight="1">
      <c r="B672" s="21"/>
    </row>
    <row r="673" ht="15.75" customHeight="1">
      <c r="B673" s="21"/>
    </row>
    <row r="674" ht="15.75" customHeight="1">
      <c r="B674" s="21"/>
    </row>
    <row r="675" ht="15.75" customHeight="1">
      <c r="B675" s="21"/>
    </row>
    <row r="676" ht="15.75" customHeight="1">
      <c r="B676" s="21"/>
    </row>
    <row r="677" ht="15.75" customHeight="1">
      <c r="B677" s="21"/>
    </row>
    <row r="678" ht="15.75" customHeight="1">
      <c r="B678" s="21"/>
    </row>
    <row r="679" ht="15.75" customHeight="1">
      <c r="B679" s="21"/>
    </row>
    <row r="680" ht="15.75" customHeight="1">
      <c r="B680" s="21"/>
    </row>
    <row r="681" ht="15.75" customHeight="1">
      <c r="B681" s="21"/>
    </row>
    <row r="682" ht="15.75" customHeight="1">
      <c r="B682" s="21"/>
    </row>
    <row r="683" ht="15.75" customHeight="1">
      <c r="B683" s="21"/>
    </row>
    <row r="684" ht="15.75" customHeight="1">
      <c r="B684" s="21"/>
    </row>
    <row r="685" ht="15.75" customHeight="1">
      <c r="B685" s="21"/>
    </row>
    <row r="686" ht="15.75" customHeight="1">
      <c r="B686" s="21"/>
    </row>
    <row r="687" ht="15.75" customHeight="1">
      <c r="B687" s="21"/>
    </row>
    <row r="688" ht="15.75" customHeight="1">
      <c r="B688" s="21"/>
    </row>
    <row r="689" ht="15.75" customHeight="1">
      <c r="B689" s="21"/>
    </row>
    <row r="690" ht="15.75" customHeight="1">
      <c r="B690" s="21"/>
    </row>
    <row r="691" ht="15.75" customHeight="1">
      <c r="B691" s="21"/>
    </row>
    <row r="692" ht="15.75" customHeight="1">
      <c r="B692" s="21"/>
    </row>
    <row r="693" ht="15.75" customHeight="1">
      <c r="B693" s="21"/>
    </row>
    <row r="694" ht="15.75" customHeight="1">
      <c r="B694" s="21"/>
    </row>
    <row r="695" ht="15.75" customHeight="1">
      <c r="B695" s="21"/>
    </row>
    <row r="696" ht="15.75" customHeight="1">
      <c r="B696" s="21"/>
    </row>
    <row r="697" ht="15.75" customHeight="1">
      <c r="B697" s="21"/>
    </row>
    <row r="698" ht="15.75" customHeight="1">
      <c r="B698" s="21"/>
    </row>
    <row r="699" ht="15.75" customHeight="1">
      <c r="B699" s="21"/>
    </row>
    <row r="700" ht="15.75" customHeight="1">
      <c r="B700" s="21"/>
    </row>
    <row r="701" ht="15.75" customHeight="1">
      <c r="B701" s="21"/>
    </row>
    <row r="702" ht="15.75" customHeight="1">
      <c r="B702" s="21"/>
    </row>
    <row r="703" ht="15.75" customHeight="1">
      <c r="B703" s="21"/>
    </row>
    <row r="704" ht="15.75" customHeight="1">
      <c r="B704" s="21"/>
    </row>
    <row r="705" ht="15.75" customHeight="1">
      <c r="B705" s="21"/>
    </row>
    <row r="706" ht="15.75" customHeight="1">
      <c r="B706" s="21"/>
    </row>
    <row r="707" ht="15.75" customHeight="1">
      <c r="B707" s="21"/>
    </row>
    <row r="708" ht="15.75" customHeight="1">
      <c r="B708" s="21"/>
    </row>
    <row r="709" ht="15.75" customHeight="1">
      <c r="B709" s="21"/>
    </row>
    <row r="710" ht="15.75" customHeight="1">
      <c r="B710" s="21"/>
    </row>
    <row r="711" ht="15.75" customHeight="1">
      <c r="B711" s="21"/>
    </row>
    <row r="712" ht="15.75" customHeight="1">
      <c r="B712" s="21"/>
    </row>
    <row r="713" ht="15.75" customHeight="1">
      <c r="B713" s="21"/>
    </row>
    <row r="714" ht="15.75" customHeight="1">
      <c r="B714" s="21"/>
    </row>
    <row r="715" ht="15.75" customHeight="1">
      <c r="B715" s="21"/>
    </row>
    <row r="716" ht="15.75" customHeight="1">
      <c r="B716" s="21"/>
    </row>
    <row r="717" ht="15.75" customHeight="1">
      <c r="B717" s="21"/>
    </row>
    <row r="718" ht="15.75" customHeight="1">
      <c r="B718" s="21"/>
    </row>
    <row r="719" ht="15.75" customHeight="1">
      <c r="B719" s="21"/>
    </row>
    <row r="720" ht="15.75" customHeight="1">
      <c r="B720" s="21"/>
    </row>
    <row r="721" ht="15.75" customHeight="1">
      <c r="B721" s="21"/>
    </row>
    <row r="722" ht="15.75" customHeight="1">
      <c r="B722" s="21"/>
    </row>
    <row r="723" ht="15.75" customHeight="1">
      <c r="B723" s="21"/>
    </row>
    <row r="724" ht="15.75" customHeight="1">
      <c r="B724" s="21"/>
    </row>
    <row r="725" ht="15.75" customHeight="1">
      <c r="B725" s="21"/>
    </row>
    <row r="726" ht="15.75" customHeight="1">
      <c r="B726" s="21"/>
    </row>
    <row r="727" ht="15.75" customHeight="1">
      <c r="B727" s="21"/>
    </row>
    <row r="728" ht="15.75" customHeight="1">
      <c r="B728" s="21"/>
    </row>
    <row r="729" ht="15.75" customHeight="1">
      <c r="B729" s="21"/>
    </row>
    <row r="730" ht="15.75" customHeight="1">
      <c r="B730" s="21"/>
    </row>
    <row r="731" ht="15.75" customHeight="1">
      <c r="B731" s="21"/>
    </row>
    <row r="732" ht="15.75" customHeight="1">
      <c r="B732" s="21"/>
    </row>
    <row r="733" ht="15.75" customHeight="1">
      <c r="B733" s="21"/>
    </row>
    <row r="734" ht="15.75" customHeight="1">
      <c r="B734" s="21"/>
    </row>
    <row r="735" ht="15.75" customHeight="1">
      <c r="B735" s="21"/>
    </row>
    <row r="736" ht="15.75" customHeight="1">
      <c r="B736" s="21"/>
    </row>
    <row r="737" ht="15.75" customHeight="1">
      <c r="B737" s="21"/>
    </row>
    <row r="738" ht="15.75" customHeight="1">
      <c r="B738" s="21"/>
    </row>
    <row r="739" ht="15.75" customHeight="1">
      <c r="B739" s="21"/>
    </row>
    <row r="740" ht="15.75" customHeight="1">
      <c r="B740" s="21"/>
    </row>
    <row r="741" ht="15.75" customHeight="1">
      <c r="B741" s="21"/>
    </row>
    <row r="742" ht="15.75" customHeight="1">
      <c r="B742" s="21"/>
    </row>
    <row r="743" ht="15.75" customHeight="1">
      <c r="B743" s="21"/>
    </row>
    <row r="744" ht="15.75" customHeight="1">
      <c r="B744" s="21"/>
    </row>
    <row r="745" ht="15.75" customHeight="1">
      <c r="B745" s="21"/>
    </row>
    <row r="746" ht="15.75" customHeight="1">
      <c r="B746" s="21"/>
    </row>
    <row r="747" ht="15.75" customHeight="1">
      <c r="B747" s="21"/>
    </row>
    <row r="748" ht="15.75" customHeight="1">
      <c r="B748" s="21"/>
    </row>
    <row r="749" ht="15.75" customHeight="1">
      <c r="B749" s="21"/>
    </row>
    <row r="750" ht="15.75" customHeight="1">
      <c r="B750" s="21"/>
    </row>
    <row r="751" ht="15.75" customHeight="1">
      <c r="B751" s="21"/>
    </row>
    <row r="752" ht="15.75" customHeight="1">
      <c r="B752" s="21"/>
    </row>
    <row r="753" ht="15.75" customHeight="1">
      <c r="B753" s="21"/>
    </row>
    <row r="754" ht="15.75" customHeight="1">
      <c r="B754" s="21"/>
    </row>
    <row r="755" ht="15.75" customHeight="1">
      <c r="B755" s="21"/>
    </row>
    <row r="756" ht="15.75" customHeight="1">
      <c r="B756" s="21"/>
    </row>
    <row r="757" ht="15.75" customHeight="1">
      <c r="B757" s="21"/>
    </row>
    <row r="758" ht="15.75" customHeight="1">
      <c r="B758" s="21"/>
    </row>
    <row r="759" ht="15.75" customHeight="1">
      <c r="B759" s="21"/>
    </row>
    <row r="760" ht="15.75" customHeight="1">
      <c r="B760" s="21"/>
    </row>
    <row r="761" ht="15.75" customHeight="1">
      <c r="B761" s="21"/>
    </row>
    <row r="762" ht="15.75" customHeight="1">
      <c r="B762" s="21"/>
    </row>
    <row r="763" ht="15.75" customHeight="1">
      <c r="B763" s="21"/>
    </row>
    <row r="764" ht="15.75" customHeight="1">
      <c r="B764" s="21"/>
    </row>
    <row r="765" ht="15.75" customHeight="1">
      <c r="B765" s="21"/>
    </row>
    <row r="766" ht="15.75" customHeight="1">
      <c r="B766" s="21"/>
    </row>
    <row r="767" ht="15.75" customHeight="1">
      <c r="B767" s="21"/>
    </row>
    <row r="768" ht="15.75" customHeight="1">
      <c r="B768" s="21"/>
    </row>
    <row r="769" ht="15.75" customHeight="1">
      <c r="B769" s="21"/>
    </row>
    <row r="770" ht="15.75" customHeight="1">
      <c r="B770" s="21"/>
    </row>
    <row r="771" ht="15.75" customHeight="1">
      <c r="B771" s="21"/>
    </row>
    <row r="772" ht="15.75" customHeight="1">
      <c r="B772" s="21"/>
    </row>
    <row r="773" ht="15.75" customHeight="1">
      <c r="B773" s="21"/>
    </row>
    <row r="774" ht="15.75" customHeight="1">
      <c r="B774" s="21"/>
    </row>
    <row r="775" ht="15.75" customHeight="1">
      <c r="B775" s="21"/>
    </row>
    <row r="776" ht="15.75" customHeight="1">
      <c r="B776" s="21"/>
    </row>
    <row r="777" ht="15.75" customHeight="1">
      <c r="B777" s="21"/>
    </row>
    <row r="778" ht="15.75" customHeight="1">
      <c r="B778" s="21"/>
    </row>
    <row r="779" ht="15.75" customHeight="1">
      <c r="B779" s="21"/>
    </row>
    <row r="780" ht="15.75" customHeight="1">
      <c r="B780" s="21"/>
    </row>
    <row r="781" ht="15.75" customHeight="1">
      <c r="B781" s="21"/>
    </row>
    <row r="782" ht="15.75" customHeight="1">
      <c r="B782" s="21"/>
    </row>
    <row r="783" ht="15.75" customHeight="1">
      <c r="B783" s="21"/>
    </row>
    <row r="784" ht="15.75" customHeight="1">
      <c r="B784" s="21"/>
    </row>
    <row r="785" ht="15.75" customHeight="1">
      <c r="B785" s="21"/>
    </row>
    <row r="786" ht="15.75" customHeight="1">
      <c r="B786" s="21"/>
    </row>
    <row r="787" ht="15.75" customHeight="1">
      <c r="B787" s="21"/>
    </row>
    <row r="788" ht="15.75" customHeight="1">
      <c r="B788" s="21"/>
    </row>
    <row r="789" ht="15.75" customHeight="1">
      <c r="B789" s="21"/>
    </row>
    <row r="790" ht="15.75" customHeight="1">
      <c r="B790" s="21"/>
    </row>
    <row r="791" ht="15.75" customHeight="1">
      <c r="B791" s="21"/>
    </row>
    <row r="792" ht="15.75" customHeight="1">
      <c r="B792" s="21"/>
    </row>
    <row r="793" ht="15.75" customHeight="1">
      <c r="B793" s="21"/>
    </row>
    <row r="794" ht="15.75" customHeight="1">
      <c r="B794" s="21"/>
    </row>
    <row r="795" ht="15.75" customHeight="1">
      <c r="B795" s="21"/>
    </row>
    <row r="796" ht="15.75" customHeight="1">
      <c r="B796" s="21"/>
    </row>
    <row r="797" ht="15.75" customHeight="1">
      <c r="B797" s="21"/>
    </row>
    <row r="798" ht="15.75" customHeight="1">
      <c r="B798" s="21"/>
    </row>
    <row r="799" ht="15.75" customHeight="1">
      <c r="B799" s="21"/>
    </row>
    <row r="800" ht="15.75" customHeight="1">
      <c r="B800" s="21"/>
    </row>
    <row r="801" ht="15.75" customHeight="1">
      <c r="B801" s="21"/>
    </row>
    <row r="802" ht="15.75" customHeight="1">
      <c r="B802" s="21"/>
    </row>
    <row r="803" ht="15.75" customHeight="1">
      <c r="B803" s="21"/>
    </row>
    <row r="804" ht="15.75" customHeight="1">
      <c r="B804" s="21"/>
    </row>
    <row r="805" ht="15.75" customHeight="1">
      <c r="B805" s="21"/>
    </row>
    <row r="806" ht="15.75" customHeight="1">
      <c r="B806" s="21"/>
    </row>
    <row r="807" ht="15.75" customHeight="1">
      <c r="B807" s="21"/>
    </row>
    <row r="808" ht="15.75" customHeight="1">
      <c r="B808" s="21"/>
    </row>
    <row r="809" ht="15.75" customHeight="1">
      <c r="B809" s="21"/>
    </row>
    <row r="810" ht="15.75" customHeight="1">
      <c r="B810" s="21"/>
    </row>
    <row r="811" ht="15.75" customHeight="1">
      <c r="B811" s="21"/>
    </row>
    <row r="812" ht="15.75" customHeight="1">
      <c r="B812" s="21"/>
    </row>
    <row r="813" ht="15.75" customHeight="1">
      <c r="B813" s="21"/>
    </row>
    <row r="814" ht="15.75" customHeight="1">
      <c r="B814" s="21"/>
    </row>
    <row r="815" ht="15.75" customHeight="1">
      <c r="B815" s="21"/>
    </row>
    <row r="816" ht="15.75" customHeight="1">
      <c r="B816" s="21"/>
    </row>
    <row r="817" ht="15.75" customHeight="1">
      <c r="B817" s="21"/>
    </row>
    <row r="818" ht="15.75" customHeight="1">
      <c r="B818" s="21"/>
    </row>
    <row r="819" ht="15.75" customHeight="1">
      <c r="B819" s="21"/>
    </row>
    <row r="820" ht="15.75" customHeight="1">
      <c r="B820" s="21"/>
    </row>
    <row r="821" ht="15.75" customHeight="1">
      <c r="B821" s="21"/>
    </row>
    <row r="822" ht="15.75" customHeight="1">
      <c r="B822" s="21"/>
    </row>
    <row r="823" ht="15.75" customHeight="1">
      <c r="B823" s="21"/>
    </row>
    <row r="824" ht="15.75" customHeight="1">
      <c r="B824" s="21"/>
    </row>
    <row r="825" ht="15.75" customHeight="1">
      <c r="B825" s="21"/>
    </row>
    <row r="826" ht="15.75" customHeight="1">
      <c r="B826" s="21"/>
    </row>
    <row r="827" ht="15.75" customHeight="1">
      <c r="B827" s="21"/>
    </row>
    <row r="828" ht="15.75" customHeight="1">
      <c r="B828" s="21"/>
    </row>
    <row r="829" ht="15.75" customHeight="1">
      <c r="B829" s="21"/>
    </row>
    <row r="830" ht="15.75" customHeight="1">
      <c r="B830" s="21"/>
    </row>
    <row r="831" ht="15.75" customHeight="1">
      <c r="B831" s="21"/>
    </row>
    <row r="832" ht="15.75" customHeight="1">
      <c r="B832" s="21"/>
    </row>
    <row r="833" ht="15.75" customHeight="1">
      <c r="B833" s="21"/>
    </row>
    <row r="834" ht="15.75" customHeight="1">
      <c r="B834" s="21"/>
    </row>
    <row r="835" ht="15.75" customHeight="1">
      <c r="B835" s="21"/>
    </row>
    <row r="836" ht="15.75" customHeight="1">
      <c r="B836" s="21"/>
    </row>
    <row r="837" ht="15.75" customHeight="1">
      <c r="B837" s="21"/>
    </row>
    <row r="838" ht="15.75" customHeight="1">
      <c r="B838" s="21"/>
    </row>
    <row r="839" ht="15.75" customHeight="1">
      <c r="B839" s="21"/>
    </row>
    <row r="840" ht="15.75" customHeight="1">
      <c r="B840" s="21"/>
    </row>
    <row r="841" ht="15.75" customHeight="1">
      <c r="B841" s="21"/>
    </row>
    <row r="842" ht="15.75" customHeight="1">
      <c r="B842" s="21"/>
    </row>
    <row r="843" ht="15.75" customHeight="1">
      <c r="B843" s="21"/>
    </row>
    <row r="844" ht="15.75" customHeight="1">
      <c r="B844" s="21"/>
    </row>
    <row r="845" ht="15.75" customHeight="1">
      <c r="B845" s="21"/>
    </row>
    <row r="846" ht="15.75" customHeight="1">
      <c r="B846" s="21"/>
    </row>
    <row r="847" ht="15.75" customHeight="1">
      <c r="B847" s="21"/>
    </row>
    <row r="848" ht="15.75" customHeight="1">
      <c r="B848" s="21"/>
    </row>
    <row r="849" ht="15.75" customHeight="1">
      <c r="B849" s="21"/>
    </row>
    <row r="850" ht="15.75" customHeight="1">
      <c r="B850" s="21"/>
    </row>
    <row r="851" ht="15.75" customHeight="1">
      <c r="B851" s="21"/>
    </row>
    <row r="852" ht="15.75" customHeight="1">
      <c r="B852" s="21"/>
    </row>
    <row r="853" ht="15.75" customHeight="1">
      <c r="B853" s="21"/>
    </row>
    <row r="854" ht="15.75" customHeight="1">
      <c r="B854" s="21"/>
    </row>
    <row r="855" ht="15.75" customHeight="1">
      <c r="B855" s="21"/>
    </row>
    <row r="856" ht="15.75" customHeight="1">
      <c r="B856" s="21"/>
    </row>
    <row r="857" ht="15.75" customHeight="1">
      <c r="B857" s="21"/>
    </row>
    <row r="858" ht="15.75" customHeight="1">
      <c r="B858" s="21"/>
    </row>
    <row r="859" ht="15.75" customHeight="1">
      <c r="B859" s="21"/>
    </row>
    <row r="860" ht="15.75" customHeight="1">
      <c r="B860" s="21"/>
    </row>
    <row r="861" ht="15.75" customHeight="1">
      <c r="B861" s="21"/>
    </row>
    <row r="862" ht="15.75" customHeight="1">
      <c r="B862" s="21"/>
    </row>
    <row r="863" ht="15.75" customHeight="1">
      <c r="B863" s="21"/>
    </row>
    <row r="864" ht="15.75" customHeight="1">
      <c r="B864" s="21"/>
    </row>
    <row r="865" ht="15.75" customHeight="1">
      <c r="B865" s="21"/>
    </row>
    <row r="866" ht="15.75" customHeight="1">
      <c r="B866" s="21"/>
    </row>
    <row r="867" ht="15.75" customHeight="1">
      <c r="B867" s="21"/>
    </row>
    <row r="868" ht="15.75" customHeight="1">
      <c r="B868" s="21"/>
    </row>
    <row r="869" ht="15.75" customHeight="1">
      <c r="B869" s="21"/>
    </row>
    <row r="870" ht="15.75" customHeight="1">
      <c r="B870" s="21"/>
    </row>
    <row r="871" ht="15.75" customHeight="1">
      <c r="B871" s="21"/>
    </row>
    <row r="872" ht="15.75" customHeight="1">
      <c r="B872" s="21"/>
    </row>
    <row r="873" ht="15.75" customHeight="1">
      <c r="B873" s="21"/>
    </row>
    <row r="874" ht="15.75" customHeight="1">
      <c r="B874" s="21"/>
    </row>
    <row r="875" ht="15.75" customHeight="1">
      <c r="B875" s="21"/>
    </row>
    <row r="876" ht="15.75" customHeight="1">
      <c r="B876" s="21"/>
    </row>
    <row r="877" ht="15.75" customHeight="1">
      <c r="B877" s="21"/>
    </row>
    <row r="878" ht="15.75" customHeight="1">
      <c r="B878" s="21"/>
    </row>
    <row r="879" ht="15.75" customHeight="1">
      <c r="B879" s="21"/>
    </row>
    <row r="880" ht="15.75" customHeight="1">
      <c r="B880" s="21"/>
    </row>
    <row r="881" ht="15.75" customHeight="1">
      <c r="B881" s="21"/>
    </row>
    <row r="882" ht="15.75" customHeight="1">
      <c r="B882" s="21"/>
    </row>
    <row r="883" ht="15.75" customHeight="1">
      <c r="B883" s="21"/>
    </row>
    <row r="884" ht="15.75" customHeight="1">
      <c r="B884" s="21"/>
    </row>
    <row r="885" ht="15.75" customHeight="1">
      <c r="B885" s="21"/>
    </row>
    <row r="886" ht="15.75" customHeight="1">
      <c r="B886" s="21"/>
    </row>
    <row r="887" ht="15.75" customHeight="1">
      <c r="B887" s="21"/>
    </row>
    <row r="888" ht="15.75" customHeight="1">
      <c r="B888" s="21"/>
    </row>
    <row r="889" ht="15.75" customHeight="1">
      <c r="B889" s="21"/>
    </row>
    <row r="890" ht="15.75" customHeight="1">
      <c r="B890" s="21"/>
    </row>
    <row r="891" ht="15.75" customHeight="1">
      <c r="B891" s="21"/>
    </row>
    <row r="892" ht="15.75" customHeight="1">
      <c r="B892" s="21"/>
    </row>
    <row r="893" ht="15.75" customHeight="1">
      <c r="B893" s="21"/>
    </row>
    <row r="894" ht="15.75" customHeight="1">
      <c r="B894" s="21"/>
    </row>
    <row r="895" ht="15.75" customHeight="1">
      <c r="B895" s="21"/>
    </row>
    <row r="896" ht="15.75" customHeight="1">
      <c r="B896" s="21"/>
    </row>
    <row r="897" ht="15.75" customHeight="1">
      <c r="B897" s="21"/>
    </row>
    <row r="898" ht="15.75" customHeight="1">
      <c r="B898" s="21"/>
    </row>
    <row r="899" ht="15.75" customHeight="1">
      <c r="B899" s="21"/>
    </row>
    <row r="900" ht="15.75" customHeight="1">
      <c r="B900" s="21"/>
    </row>
    <row r="901" ht="15.75" customHeight="1">
      <c r="B901" s="21"/>
    </row>
    <row r="902" ht="15.75" customHeight="1">
      <c r="B902" s="21"/>
    </row>
    <row r="903" ht="15.75" customHeight="1">
      <c r="B903" s="21"/>
    </row>
    <row r="904" ht="15.75" customHeight="1">
      <c r="B904" s="21"/>
    </row>
    <row r="905" ht="15.75" customHeight="1">
      <c r="B905" s="21"/>
    </row>
    <row r="906" ht="15.75" customHeight="1">
      <c r="B906" s="21"/>
    </row>
    <row r="907" ht="15.75" customHeight="1">
      <c r="B907" s="21"/>
    </row>
    <row r="908" ht="15.75" customHeight="1">
      <c r="B908" s="21"/>
    </row>
    <row r="909" ht="15.75" customHeight="1">
      <c r="B909" s="21"/>
    </row>
    <row r="910" ht="15.75" customHeight="1">
      <c r="B910" s="21"/>
    </row>
    <row r="911" ht="15.75" customHeight="1">
      <c r="B911" s="21"/>
    </row>
    <row r="912" ht="15.75" customHeight="1">
      <c r="B912" s="21"/>
    </row>
    <row r="913" ht="15.75" customHeight="1">
      <c r="B913" s="21"/>
    </row>
    <row r="914" ht="15.75" customHeight="1">
      <c r="B914" s="21"/>
    </row>
    <row r="915" ht="15.75" customHeight="1">
      <c r="B915" s="21"/>
    </row>
    <row r="916" ht="15.75" customHeight="1">
      <c r="B916" s="21"/>
    </row>
    <row r="917" ht="15.75" customHeight="1">
      <c r="B917" s="21"/>
    </row>
    <row r="918" ht="15.75" customHeight="1">
      <c r="B918" s="21"/>
    </row>
    <row r="919" ht="15.75" customHeight="1">
      <c r="B919" s="21"/>
    </row>
    <row r="920" ht="15.75" customHeight="1">
      <c r="B920" s="21"/>
    </row>
    <row r="921" ht="15.75" customHeight="1">
      <c r="B921" s="21"/>
    </row>
    <row r="922" ht="15.75" customHeight="1">
      <c r="B922" s="21"/>
    </row>
    <row r="923" ht="15.75" customHeight="1">
      <c r="B923" s="21"/>
    </row>
    <row r="924" ht="15.75" customHeight="1">
      <c r="B924" s="21"/>
    </row>
    <row r="925" ht="15.75" customHeight="1">
      <c r="B925" s="21"/>
    </row>
    <row r="926" ht="15.75" customHeight="1">
      <c r="B926" s="21"/>
    </row>
    <row r="927" ht="15.75" customHeight="1">
      <c r="B927" s="21"/>
    </row>
    <row r="928" ht="15.75" customHeight="1">
      <c r="B928" s="21"/>
    </row>
    <row r="929" ht="15.75" customHeight="1">
      <c r="B929" s="21"/>
    </row>
    <row r="930" ht="15.75" customHeight="1">
      <c r="B930" s="21"/>
    </row>
    <row r="931" ht="15.75" customHeight="1">
      <c r="B931" s="21"/>
    </row>
    <row r="932" ht="15.75" customHeight="1">
      <c r="B932" s="21"/>
    </row>
    <row r="933" ht="15.75" customHeight="1">
      <c r="B933" s="21"/>
    </row>
    <row r="934" ht="15.75" customHeight="1">
      <c r="B934" s="21"/>
    </row>
    <row r="935" ht="15.75" customHeight="1">
      <c r="B935" s="21"/>
    </row>
    <row r="936" ht="15.75" customHeight="1">
      <c r="B936" s="21"/>
    </row>
    <row r="937" ht="15.75" customHeight="1">
      <c r="B937" s="21"/>
    </row>
    <row r="938" ht="15.75" customHeight="1">
      <c r="B938" s="21"/>
    </row>
    <row r="939" ht="15.75" customHeight="1">
      <c r="B939" s="21"/>
    </row>
    <row r="940" ht="15.75" customHeight="1">
      <c r="B940" s="21"/>
    </row>
    <row r="941" ht="15.75" customHeight="1">
      <c r="B941" s="21"/>
    </row>
    <row r="942" ht="15.75" customHeight="1">
      <c r="B942" s="21"/>
    </row>
    <row r="943" ht="15.75" customHeight="1">
      <c r="B943" s="21"/>
    </row>
    <row r="944" ht="15.75" customHeight="1">
      <c r="B944" s="21"/>
    </row>
    <row r="945" ht="15.75" customHeight="1">
      <c r="B945" s="21"/>
    </row>
    <row r="946" ht="15.75" customHeight="1">
      <c r="B946" s="21"/>
    </row>
    <row r="947" ht="15.75" customHeight="1">
      <c r="B947" s="21"/>
    </row>
    <row r="948" ht="15.75" customHeight="1">
      <c r="B948" s="21"/>
    </row>
    <row r="949" ht="15.75" customHeight="1">
      <c r="B949" s="21"/>
    </row>
    <row r="950" ht="15.75" customHeight="1">
      <c r="B950" s="21"/>
    </row>
    <row r="951" ht="15.75" customHeight="1">
      <c r="B951" s="21"/>
    </row>
    <row r="952" ht="15.75" customHeight="1">
      <c r="B952" s="21"/>
    </row>
    <row r="953" ht="15.75" customHeight="1">
      <c r="B953" s="21"/>
    </row>
    <row r="954" ht="15.75" customHeight="1">
      <c r="B954" s="21"/>
    </row>
    <row r="955" ht="15.75" customHeight="1">
      <c r="B955" s="21"/>
    </row>
    <row r="956" ht="15.75" customHeight="1">
      <c r="B956" s="21"/>
    </row>
    <row r="957" ht="15.75" customHeight="1">
      <c r="B957" s="21"/>
    </row>
    <row r="958" ht="15.75" customHeight="1">
      <c r="B958" s="21"/>
    </row>
    <row r="959" ht="15.75" customHeight="1">
      <c r="B959" s="21"/>
    </row>
    <row r="960" ht="15.75" customHeight="1">
      <c r="B960" s="21"/>
    </row>
    <row r="961" ht="15.75" customHeight="1">
      <c r="B961" s="21"/>
    </row>
    <row r="962" ht="15.75" customHeight="1">
      <c r="B962" s="21"/>
    </row>
    <row r="963" ht="15.75" customHeight="1">
      <c r="B963" s="21"/>
    </row>
    <row r="964" ht="15.75" customHeight="1">
      <c r="B964" s="21"/>
    </row>
    <row r="965" ht="15.75" customHeight="1">
      <c r="B965" s="21"/>
    </row>
    <row r="966" ht="15.75" customHeight="1">
      <c r="B966" s="21"/>
    </row>
    <row r="967" ht="15.75" customHeight="1">
      <c r="B967" s="21"/>
    </row>
    <row r="968" ht="15.75" customHeight="1">
      <c r="B968" s="21"/>
    </row>
    <row r="969" ht="15.75" customHeight="1">
      <c r="B969" s="21"/>
    </row>
    <row r="970" ht="15.75" customHeight="1">
      <c r="B970" s="21"/>
    </row>
    <row r="971" ht="15.75" customHeight="1">
      <c r="B971" s="21"/>
    </row>
    <row r="972" ht="15.75" customHeight="1">
      <c r="B972" s="21"/>
    </row>
    <row r="973" ht="15.75" customHeight="1">
      <c r="B973" s="21"/>
    </row>
    <row r="974" ht="15.75" customHeight="1">
      <c r="B974" s="21"/>
    </row>
    <row r="975" ht="15.75" customHeight="1">
      <c r="B975" s="21"/>
    </row>
    <row r="976" ht="15.75" customHeight="1">
      <c r="B976" s="21"/>
    </row>
    <row r="977" ht="15.75" customHeight="1">
      <c r="B977" s="21"/>
    </row>
    <row r="978" ht="15.75" customHeight="1">
      <c r="B978" s="21"/>
    </row>
    <row r="979" ht="15.75" customHeight="1">
      <c r="B979" s="21"/>
    </row>
    <row r="980" ht="15.75" customHeight="1">
      <c r="B980" s="21"/>
    </row>
    <row r="981" ht="15.75" customHeight="1">
      <c r="B981" s="21"/>
    </row>
    <row r="982" ht="15.75" customHeight="1">
      <c r="B982" s="21"/>
    </row>
    <row r="983" ht="15.75" customHeight="1">
      <c r="B983" s="21"/>
    </row>
    <row r="984" ht="15.75" customHeight="1">
      <c r="B984" s="21"/>
    </row>
    <row r="985" ht="15.75" customHeight="1">
      <c r="B985" s="21"/>
    </row>
    <row r="986" ht="15.75" customHeight="1">
      <c r="B986" s="21"/>
    </row>
    <row r="987" ht="15.75" customHeight="1">
      <c r="B987" s="21"/>
    </row>
    <row r="988" ht="15.75" customHeight="1">
      <c r="B988" s="21"/>
    </row>
    <row r="989" ht="15.75" customHeight="1">
      <c r="B989" s="21"/>
    </row>
    <row r="990" ht="15.75" customHeight="1">
      <c r="B990" s="21"/>
    </row>
    <row r="991" ht="15.75" customHeight="1">
      <c r="B991" s="21"/>
    </row>
    <row r="992" ht="15.75" customHeight="1">
      <c r="B992" s="21"/>
    </row>
    <row r="993" ht="15.75" customHeight="1">
      <c r="B993" s="21"/>
    </row>
    <row r="994" ht="15.75" customHeight="1">
      <c r="B994" s="21"/>
    </row>
    <row r="995" ht="15.75" customHeight="1">
      <c r="B995" s="21"/>
    </row>
    <row r="996" ht="15.75" customHeight="1">
      <c r="B996" s="21"/>
    </row>
    <row r="997" ht="15.75" customHeight="1">
      <c r="B997" s="21"/>
    </row>
    <row r="998" ht="15.75" customHeight="1">
      <c r="B998" s="21"/>
    </row>
    <row r="999" ht="15.75" customHeight="1">
      <c r="B999" s="21"/>
    </row>
    <row r="1000" ht="15.75" customHeight="1">
      <c r="B1000" s="2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7" max="7" width="15.57"/>
    <col customWidth="1" min="12" max="12" width="24.57"/>
    <col customWidth="1" min="13" max="13" width="19.71"/>
    <col customWidth="1" min="14" max="14" width="16.57"/>
  </cols>
  <sheetData>
    <row r="1">
      <c r="B1" s="4" t="s">
        <v>153</v>
      </c>
      <c r="C1" s="4" t="s">
        <v>154</v>
      </c>
      <c r="D1" s="4" t="s">
        <v>155</v>
      </c>
      <c r="E1" s="4" t="s">
        <v>156</v>
      </c>
      <c r="F1" s="4" t="s">
        <v>157</v>
      </c>
      <c r="G1" s="4" t="s">
        <v>158</v>
      </c>
      <c r="H1" s="4" t="s">
        <v>159</v>
      </c>
      <c r="I1" s="4" t="s">
        <v>160</v>
      </c>
      <c r="J1" s="4" t="s">
        <v>161</v>
      </c>
      <c r="K1" s="4" t="s">
        <v>162</v>
      </c>
      <c r="L1" s="4" t="s">
        <v>163</v>
      </c>
      <c r="M1" s="4" t="s">
        <v>164</v>
      </c>
      <c r="N1" s="4" t="s">
        <v>165</v>
      </c>
      <c r="O1" s="4" t="s">
        <v>166</v>
      </c>
    </row>
    <row r="2">
      <c r="A2" s="30">
        <v>46104.0</v>
      </c>
      <c r="B2" s="2">
        <f>stock!Z2*stock_position!BF2+stock!AF2*stock_position!BR2+stock!AG2*stock_position!AX3+stock!AB2*stock_position!BJ3+stock!AH2*stock_position!AZ3</f>
        <v>51641459.06</v>
      </c>
      <c r="C2" s="2">
        <f> stock!B2*stock_position!B2+stock!C2*stock_position!D2+stock!D2*stock_position!F2+stock!E2*stock_position!H2+stock!F2*stock_position!J2+stock!N2*stock_position!Z2</f>
        <v>40819526.34</v>
      </c>
      <c r="D2" s="2">
        <f t="shared" ref="D2:D6" si="1">(B2+C2)-F$213</f>
        <v>810357.4028</v>
      </c>
      <c r="E2" s="2">
        <f>(futures!E2-futures_position!$I$2)*100*100</f>
        <v>-427000</v>
      </c>
      <c r="F2" s="2">
        <f t="shared" ref="F2:F14" si="2">L75</f>
        <v>22938.65</v>
      </c>
      <c r="G2" s="4">
        <v>337.0</v>
      </c>
      <c r="H2" s="2">
        <f t="shared" ref="H2:H6" si="3">G2+F2</f>
        <v>23275.65</v>
      </c>
      <c r="I2" s="4">
        <v>0.0</v>
      </c>
      <c r="L2" s="2">
        <f t="shared" ref="L2:L6" si="4">E$213+D2+E2-H2-I2</f>
        <v>100360081.8</v>
      </c>
      <c r="M2" s="2">
        <f t="shared" ref="M2:M32" si="5">B75</f>
        <v>100360081.4</v>
      </c>
      <c r="N2" s="31">
        <f t="shared" ref="N2:N6" si="6">L2-M2</f>
        <v>0.3527928591</v>
      </c>
      <c r="O2" s="2">
        <f>stock!AG2*stock_position!AX2/M2</f>
        <v>0.1690398636</v>
      </c>
      <c r="Q2" s="30"/>
    </row>
    <row r="3">
      <c r="A3" s="30">
        <v>46105.0</v>
      </c>
      <c r="B3" s="2">
        <f>stock!Z3*stock_position!BF3+stock!AF3*stock_position!BR3+stock!AG3*stock_position!AX4+stock!AB3*stock_position!BJ4+stock!AH3*stock_position!AZ4</f>
        <v>50531585.63</v>
      </c>
      <c r="C3" s="2">
        <f> stock!B3*stock_position!B3+stock!C3*stock_position!D3+stock!D3*stock_position!F3+stock!E3*stock_position!H3+stock!F3*stock_position!J3+stock!N3*stock_position!Z3</f>
        <v>40888427.2</v>
      </c>
      <c r="D3" s="2">
        <f t="shared" si="1"/>
        <v>-230615.1742</v>
      </c>
      <c r="E3" s="2">
        <f>(futures!E3-futures_position!$I$2)*100*100</f>
        <v>1340000</v>
      </c>
      <c r="F3" s="2">
        <f t="shared" si="2"/>
        <v>22938.65</v>
      </c>
      <c r="G3" s="4">
        <v>337.0</v>
      </c>
      <c r="H3" s="2">
        <f t="shared" si="3"/>
        <v>23275.65</v>
      </c>
      <c r="I3" s="4">
        <v>0.0</v>
      </c>
      <c r="L3" s="2">
        <f t="shared" si="4"/>
        <v>101086109.2</v>
      </c>
      <c r="M3" s="2">
        <f t="shared" si="5"/>
        <v>101086108.9</v>
      </c>
      <c r="N3" s="31">
        <f t="shared" si="6"/>
        <v>0.2357901335</v>
      </c>
      <c r="O3" s="2">
        <f>stock!AG3*stock_position!AX3/M3</f>
        <v>0.154919868</v>
      </c>
      <c r="Q3" s="30"/>
    </row>
    <row r="4">
      <c r="A4" s="30">
        <v>46106.0</v>
      </c>
      <c r="B4" s="2">
        <f>stock!Z4*stock_position!BF4+stock!AF4*stock_position!BR4+stock!AG4*stock_position!AX5+stock!AB4*stock_position!BJ5+stock!AH4*stock_position!AZ5</f>
        <v>52715788.58</v>
      </c>
      <c r="C4" s="2">
        <f> stock!B4*stock_position!B4+stock!C4*stock_position!D4+stock!D4*stock_position!F4+stock!E4*stock_position!H4+stock!F4*stock_position!J4+stock!N4*stock_position!Z4</f>
        <v>42907124.06</v>
      </c>
      <c r="D4" s="2">
        <f t="shared" si="1"/>
        <v>3972284.642</v>
      </c>
      <c r="E4" s="2">
        <f>(futures!E4-futures_position!$I$2)*100*100</f>
        <v>855000</v>
      </c>
      <c r="F4" s="2">
        <f t="shared" si="2"/>
        <v>22938.65</v>
      </c>
      <c r="G4" s="4">
        <v>337.0</v>
      </c>
      <c r="H4" s="2">
        <f t="shared" si="3"/>
        <v>23275.65</v>
      </c>
      <c r="I4" s="4">
        <v>0.0</v>
      </c>
      <c r="L4" s="2">
        <f t="shared" si="4"/>
        <v>104804009</v>
      </c>
      <c r="M4" s="32">
        <f t="shared" si="5"/>
        <v>104804008.8</v>
      </c>
      <c r="N4" s="31">
        <f t="shared" si="6"/>
        <v>0.2323025614</v>
      </c>
      <c r="O4" s="2">
        <f>stock!AG4*stock_position!AX4/M4</f>
        <v>0.1578372851</v>
      </c>
      <c r="Q4" s="30"/>
    </row>
    <row r="5">
      <c r="A5" s="30">
        <v>46107.0</v>
      </c>
      <c r="B5" s="2">
        <f>stock!Z5*stock_position!BF5+stock!AF5*stock_position!BR5+stock!AG5*stock_position!AX6+stock!AB5*stock_position!BJ6+stock!AH5*stock_position!AZ6</f>
        <v>54391057.08</v>
      </c>
      <c r="C5" s="2">
        <f> stock!B5*stock_position!B5+stock!C5*stock_position!D5+stock!D5*stock_position!F5+stock!E5*stock_position!H5+stock!F5*stock_position!J5+stock!N5*stock_position!Z5</f>
        <v>40751209.5</v>
      </c>
      <c r="D5" s="2">
        <f t="shared" si="1"/>
        <v>3491638.581</v>
      </c>
      <c r="E5" s="2">
        <f>(futures!E5-futures_position!$I$2)*100*100</f>
        <v>-92000</v>
      </c>
      <c r="F5" s="2">
        <f t="shared" si="2"/>
        <v>22938.65</v>
      </c>
      <c r="G5" s="4">
        <v>337.0</v>
      </c>
      <c r="H5" s="2">
        <f t="shared" si="3"/>
        <v>23275.65</v>
      </c>
      <c r="I5" s="4">
        <v>0.0</v>
      </c>
      <c r="L5" s="2">
        <f t="shared" si="4"/>
        <v>103376362.9</v>
      </c>
      <c r="M5" s="32">
        <f t="shared" si="5"/>
        <v>103376362.7</v>
      </c>
      <c r="N5" s="31">
        <f t="shared" si="6"/>
        <v>0.230686143</v>
      </c>
      <c r="O5" s="2">
        <f>stock!AG5*stock_position!AX5/M5</f>
        <v>0.1760626303</v>
      </c>
      <c r="Q5" s="30"/>
    </row>
    <row r="6">
      <c r="A6" s="30">
        <v>46108.0</v>
      </c>
      <c r="B6" s="2">
        <f>stock!Z6*stock_position!BF6+stock!AF6*stock_position!BR6+stock!AG6*stock_position!AX7+stock!AB6*stock_position!BJ7+stock!AH6*stock_position!AZ7</f>
        <v>53040318.88</v>
      </c>
      <c r="C6" s="2">
        <f> stock!B6*stock_position!B6+stock!C6*stock_position!D6+stock!D6*stock_position!F6+stock!E6*stock_position!H6+stock!F6*stock_position!J6+stock!N6*stock_position!Z6</f>
        <v>40005673.35</v>
      </c>
      <c r="D6" s="2">
        <f t="shared" si="1"/>
        <v>1395364.225</v>
      </c>
      <c r="E6" s="2">
        <f>(futures!E6-futures_position!$I$2)*100*100</f>
        <v>586000</v>
      </c>
      <c r="F6" s="2">
        <f t="shared" si="2"/>
        <v>22938.65</v>
      </c>
      <c r="G6" s="4">
        <v>337.0</v>
      </c>
      <c r="H6" s="2">
        <f t="shared" si="3"/>
        <v>23275.65</v>
      </c>
      <c r="I6" s="4">
        <v>0.0</v>
      </c>
      <c r="L6" s="2">
        <f t="shared" si="4"/>
        <v>101958088.6</v>
      </c>
      <c r="M6" s="2">
        <f t="shared" si="5"/>
        <v>101958088</v>
      </c>
      <c r="N6" s="31">
        <f t="shared" si="6"/>
        <v>0.5754764676</v>
      </c>
      <c r="O6" s="2">
        <f>stock!AG6*stock_position!AX6/M6</f>
        <v>0.1687138942</v>
      </c>
      <c r="Q6" s="30"/>
    </row>
    <row r="7">
      <c r="A7" s="33">
        <v>46109.0</v>
      </c>
      <c r="C7" s="2" t="str">
        <f t="shared" ref="C7:C8" si="7">D124</f>
        <v/>
      </c>
      <c r="F7" s="2" t="str">
        <f t="shared" si="2"/>
        <v/>
      </c>
      <c r="I7" s="4" t="str">
        <f t="shared" ref="I7:I21" si="8">O80</f>
        <v/>
      </c>
      <c r="M7" s="2" t="str">
        <f t="shared" si="5"/>
        <v/>
      </c>
      <c r="N7" s="31"/>
      <c r="Q7" s="30"/>
    </row>
    <row r="8">
      <c r="A8" s="33">
        <v>46110.0</v>
      </c>
      <c r="C8" s="2" t="str">
        <f t="shared" si="7"/>
        <v/>
      </c>
      <c r="F8" s="2" t="str">
        <f t="shared" si="2"/>
        <v/>
      </c>
      <c r="I8" s="4" t="str">
        <f t="shared" si="8"/>
        <v/>
      </c>
      <c r="M8" s="2" t="str">
        <f t="shared" si="5"/>
        <v/>
      </c>
      <c r="N8" s="31"/>
      <c r="Q8" s="30"/>
    </row>
    <row r="9">
      <c r="A9" s="30">
        <v>46111.0</v>
      </c>
      <c r="B9" s="2">
        <f>stock!AF7*stock_position!BR2+stock!AG7*stock_position!AX2+stock!AB7*stock_position!BJ2+stock!AH7*stock_position!AZ2+stock!AA7*stock_position!BH7</f>
        <v>50785177.02</v>
      </c>
      <c r="C9" s="2">
        <f>stock!D7*stock_position!F7+stock!E7*stock_position!H7+stock!N7*stock_position!Z7+stock!F7*stock_position!J7+stock!O7*stock_position!AB7+stock!I7*stock_position!P7+stock!G7*stock_position!L7</f>
        <v>39051000.37</v>
      </c>
      <c r="D9" s="2">
        <f t="shared" ref="D9:D12" si="9">(B9+C9)-F$220</f>
        <v>-1683002</v>
      </c>
      <c r="E9" s="2">
        <f>(futures!E7-futures_position!$I$2)*100*100</f>
        <v>1903000</v>
      </c>
      <c r="F9" s="2">
        <f t="shared" si="2"/>
        <v>32312.35</v>
      </c>
      <c r="G9" s="4">
        <v>337.0</v>
      </c>
      <c r="H9" s="2">
        <f t="shared" ref="H9:H12" si="10">G9+F9</f>
        <v>32649.35</v>
      </c>
      <c r="I9" s="4">
        <f t="shared" si="8"/>
        <v>28714.68</v>
      </c>
      <c r="L9" s="2">
        <f t="shared" ref="L9:L12" si="11">E$213+D9+E9-H9-I9</f>
        <v>100158634</v>
      </c>
      <c r="M9" s="2">
        <f t="shared" si="5"/>
        <v>100158634</v>
      </c>
      <c r="N9" s="31">
        <f t="shared" ref="N9:N12" si="12">L9-M9</f>
        <v>-0.03000000119</v>
      </c>
      <c r="O9" s="2">
        <f>stock!AG7*stock_position!AX7/M9</f>
        <v>0.1616415154</v>
      </c>
      <c r="Q9" s="30"/>
    </row>
    <row r="10">
      <c r="A10" s="30">
        <v>46112.0</v>
      </c>
      <c r="B10" s="2">
        <f>stock!AF8*stock_position!BR3+stock!AG8*stock_position!AX3+stock!AB8*stock_position!BJ3+stock!AH8*stock_position!AZ3+stock!AA8*stock_position!BH8</f>
        <v>48197083.74</v>
      </c>
      <c r="C10" s="2">
        <f>stock!D8*stock_position!F8+stock!E8*stock_position!H8+stock!N8*stock_position!Z8+stock!F8*stock_position!J8+stock!O8*stock_position!AB8+stock!I8*stock_position!P8+stock!G8*stock_position!L8</f>
        <v>39283900.57</v>
      </c>
      <c r="D10" s="2">
        <f t="shared" si="9"/>
        <v>-4038195.078</v>
      </c>
      <c r="E10" s="2">
        <f>(futures!E8-futures_position!$I$2)*100*100</f>
        <v>3156000</v>
      </c>
      <c r="F10" s="2">
        <f t="shared" si="2"/>
        <v>32312.35</v>
      </c>
      <c r="G10" s="4">
        <v>337.0</v>
      </c>
      <c r="H10" s="2">
        <f t="shared" si="10"/>
        <v>32649.35</v>
      </c>
      <c r="I10" s="4">
        <f t="shared" si="8"/>
        <v>28714.68</v>
      </c>
      <c r="L10" s="2">
        <f t="shared" si="11"/>
        <v>99056440.89</v>
      </c>
      <c r="M10" s="2">
        <f t="shared" si="5"/>
        <v>99056441</v>
      </c>
      <c r="N10" s="31">
        <f t="shared" si="12"/>
        <v>-0.1078885645</v>
      </c>
      <c r="O10" s="2">
        <f>stock!AG8*stock_position!AX8/M10</f>
        <v>0.1551333551</v>
      </c>
      <c r="Q10" s="30"/>
    </row>
    <row r="11">
      <c r="A11" s="30">
        <v>46113.0</v>
      </c>
      <c r="B11" s="2">
        <f>stock!AF9*stock_position!BR4+stock!AG9*stock_position!AX4+stock!AB9*stock_position!BJ4+stock!AH9*stock_position!AZ4+stock!AA9*stock_position!BH9</f>
        <v>51281022.45</v>
      </c>
      <c r="C11" s="2">
        <f>stock!D9*stock_position!F9+stock!E9*stock_position!H9+stock!N9*stock_position!Z9+stock!F9*stock_position!J9+stock!O9*stock_position!AB9+stock!I9*stock_position!P9+stock!G9*stock_position!L9</f>
        <v>39087133.27</v>
      </c>
      <c r="D11" s="2">
        <f t="shared" si="9"/>
        <v>-1151023.673</v>
      </c>
      <c r="E11" s="2">
        <f>(futures!E9-futures_position!$I$2)*100*100</f>
        <v>1651000</v>
      </c>
      <c r="F11" s="2">
        <f t="shared" si="2"/>
        <v>32312.35</v>
      </c>
      <c r="G11" s="4">
        <v>337.0</v>
      </c>
      <c r="H11" s="2">
        <f t="shared" si="10"/>
        <v>32649.35</v>
      </c>
      <c r="I11" s="4">
        <f t="shared" si="8"/>
        <v>28714.68</v>
      </c>
      <c r="L11" s="2">
        <f t="shared" si="11"/>
        <v>100438612.3</v>
      </c>
      <c r="M11" s="2">
        <f t="shared" si="5"/>
        <v>100438612</v>
      </c>
      <c r="N11" s="31">
        <f t="shared" si="12"/>
        <v>0.2971510142</v>
      </c>
      <c r="O11" s="2">
        <f>stock!AG9*stock_position!AX9/M11</f>
        <v>0.156071848</v>
      </c>
      <c r="Q11" s="30"/>
    </row>
    <row r="12">
      <c r="A12" s="30">
        <v>46114.0</v>
      </c>
      <c r="B12" s="2">
        <f>stock!AF10*stock_position!BR5+stock!AG10*stock_position!AX5+stock!AB10*stock_position!BJ5+stock!AH10*stock_position!AZ5+stock!AA10*stock_position!BH10</f>
        <v>50711210.13</v>
      </c>
      <c r="C12" s="2">
        <f>stock!D10*stock_position!F10+stock!E10*stock_position!H10+stock!N10*stock_position!Z10+stock!F10*stock_position!J10+stock!O10*stock_position!AB10+stock!I10*stock_position!P10+stock!G10*stock_position!L10</f>
        <v>39919332.21</v>
      </c>
      <c r="D12" s="2">
        <f t="shared" si="9"/>
        <v>-888637.0492</v>
      </c>
      <c r="E12" s="2">
        <f>(futures!E10-futures_position!$I$2)*100*100</f>
        <v>2527000</v>
      </c>
      <c r="F12" s="2">
        <f t="shared" si="2"/>
        <v>32312.35</v>
      </c>
      <c r="G12" s="4">
        <v>337.0</v>
      </c>
      <c r="H12" s="2">
        <f t="shared" si="10"/>
        <v>32649.35</v>
      </c>
      <c r="I12" s="4">
        <f t="shared" si="8"/>
        <v>28714.68</v>
      </c>
      <c r="L12" s="2">
        <f t="shared" si="11"/>
        <v>101576998.9</v>
      </c>
      <c r="M12" s="2">
        <f t="shared" si="5"/>
        <v>101576999</v>
      </c>
      <c r="N12" s="31">
        <f t="shared" si="12"/>
        <v>-0.07915632427</v>
      </c>
      <c r="O12" s="2">
        <f>stock!AG10*stock_position!AX10/M12</f>
        <v>0.1578116232</v>
      </c>
      <c r="Q12" s="30"/>
    </row>
    <row r="13">
      <c r="A13" s="33">
        <v>46115.0</v>
      </c>
      <c r="C13" s="2" t="str">
        <f t="shared" ref="C13:C14" si="13">D130</f>
        <v/>
      </c>
      <c r="F13" s="2" t="str">
        <f t="shared" si="2"/>
        <v/>
      </c>
      <c r="I13" s="4" t="str">
        <f t="shared" si="8"/>
        <v/>
      </c>
      <c r="M13" s="2" t="str">
        <f t="shared" si="5"/>
        <v/>
      </c>
      <c r="N13" s="31"/>
      <c r="Q13" s="30"/>
    </row>
    <row r="14">
      <c r="A14" s="33">
        <v>46116.0</v>
      </c>
      <c r="C14" s="2" t="str">
        <f t="shared" si="13"/>
        <v/>
      </c>
      <c r="F14" s="2" t="str">
        <f t="shared" si="2"/>
        <v/>
      </c>
      <c r="I14" s="4" t="str">
        <f t="shared" si="8"/>
        <v/>
      </c>
      <c r="M14" s="2" t="str">
        <f t="shared" si="5"/>
        <v/>
      </c>
      <c r="N14" s="31"/>
      <c r="Q14" s="30"/>
    </row>
    <row r="15">
      <c r="A15" s="33">
        <v>46117.0</v>
      </c>
      <c r="B15" s="2" t="str">
        <f t="shared" ref="B15:C15" si="14">C132</f>
        <v/>
      </c>
      <c r="C15" s="2" t="str">
        <f t="shared" si="14"/>
        <v/>
      </c>
      <c r="I15" s="4" t="str">
        <f t="shared" si="8"/>
        <v/>
      </c>
      <c r="M15" s="2" t="str">
        <f t="shared" si="5"/>
        <v/>
      </c>
      <c r="Q15" s="30"/>
    </row>
    <row r="16">
      <c r="A16" s="30">
        <v>46118.0</v>
      </c>
      <c r="B16" s="2">
        <f>stock!AF11*stock_position!BR2+stock!AG11*stock_position!AX2+stock!AB11*stock_position!BJ2+stock!AH11*stock_position!AZ2+stock!AA11*stock_position!BH7</f>
        <v>50711210.13</v>
      </c>
      <c r="C16" s="2">
        <f>stock!D11*stock_position!F11+stock!E11*stock_position!H11+stock!N11*stock_position!Z11+stock!F11*stock_position!J11+stock!O11*stock_position!AB11+stock!I11*stock_position!P11+stock!G11*stock_position!L11</f>
        <v>39618741.07</v>
      </c>
      <c r="D16" s="2">
        <f t="shared" ref="D16:D20" si="15">(B16+C16)-F$227</f>
        <v>-1189228.189</v>
      </c>
      <c r="E16" s="2">
        <f>(futures!E11-futures_position!$I$2)*100*100</f>
        <v>2320000</v>
      </c>
      <c r="F16" s="2">
        <f t="shared" ref="F16:F20" si="16">H16-G16</f>
        <v>32312.35</v>
      </c>
      <c r="G16" s="4">
        <v>337.0</v>
      </c>
      <c r="H16" s="4">
        <v>32649.35</v>
      </c>
      <c r="I16" s="4">
        <f t="shared" si="8"/>
        <v>28714.68</v>
      </c>
      <c r="L16" s="2">
        <f t="shared" ref="L16:L20" si="17">E$213+D16+E16-H16-I16</f>
        <v>101069407.8</v>
      </c>
      <c r="M16" s="34">
        <f t="shared" si="5"/>
        <v>101069408</v>
      </c>
      <c r="N16" s="34">
        <f t="shared" ref="N16:N20" si="18">L16-M16</f>
        <v>-0.2191563398</v>
      </c>
      <c r="O16" s="2">
        <f>stock!AG11*stock_position!AX11/M16</f>
        <v>0.1586041851</v>
      </c>
      <c r="Q16" s="30"/>
    </row>
    <row r="17">
      <c r="A17" s="30">
        <v>46119.0</v>
      </c>
      <c r="B17" s="2">
        <f>stock!AF12*stock_position!BR3+stock!AG12*stock_position!AX3+stock!AB12*stock_position!BJ3+stock!AH12*stock_position!AZ3+stock!AA12*stock_position!BH8</f>
        <v>50320633.8</v>
      </c>
      <c r="C17" s="2">
        <f>stock!D12*stock_position!F12+stock!E12*stock_position!H12+stock!N12*stock_position!Z12+stock!F12*stock_position!J12+stock!O12*stock_position!AB12+stock!I12*stock_position!P12+stock!G12*stock_position!L12</f>
        <v>39344496.35</v>
      </c>
      <c r="D17" s="2">
        <f t="shared" si="15"/>
        <v>-1854049.245</v>
      </c>
      <c r="E17" s="2">
        <f>(futures!E12-futures_position!$I$2)*100*100</f>
        <v>3859000</v>
      </c>
      <c r="F17" s="2">
        <f t="shared" si="16"/>
        <v>32312.35</v>
      </c>
      <c r="G17" s="4">
        <v>337.0</v>
      </c>
      <c r="H17" s="4">
        <v>32649.35</v>
      </c>
      <c r="I17" s="4">
        <f t="shared" si="8"/>
        <v>28714.68</v>
      </c>
      <c r="L17" s="2">
        <f t="shared" si="17"/>
        <v>101943586.7</v>
      </c>
      <c r="M17" s="34">
        <f t="shared" si="5"/>
        <v>101943587</v>
      </c>
      <c r="N17" s="34">
        <f t="shared" si="18"/>
        <v>-0.2747983783</v>
      </c>
      <c r="O17" s="2">
        <f>stock!AG12*stock_position!AX12/M17</f>
        <v>0.1525161273</v>
      </c>
      <c r="Q17" s="30"/>
    </row>
    <row r="18">
      <c r="A18" s="30">
        <v>46120.0</v>
      </c>
      <c r="B18" s="2">
        <f>stock!AF13*stock_position!BR4+stock!AG13*stock_position!AX4+stock!AB13*stock_position!BJ4+stock!AH13*stock_position!AZ4+stock!AA13*stock_position!BH9</f>
        <v>52947204.87</v>
      </c>
      <c r="C18" s="2">
        <f>stock!D13*stock_position!F13+stock!E13*stock_position!H13+stock!N13*stock_position!Z13+stock!F13*stock_position!J13+stock!O13*stock_position!AB13+stock!I13*stock_position!P13+stock!G13*stock_position!L13</f>
        <v>39658168.49</v>
      </c>
      <c r="D18" s="2">
        <f t="shared" si="15"/>
        <v>1086193.964</v>
      </c>
      <c r="E18" s="2">
        <f>(futures!E13-futures_position!$I$2)*100*100</f>
        <v>2897000</v>
      </c>
      <c r="F18" s="2">
        <f t="shared" si="16"/>
        <v>32312.35</v>
      </c>
      <c r="G18" s="4">
        <v>337.0</v>
      </c>
      <c r="H18" s="4">
        <v>32649.35</v>
      </c>
      <c r="I18" s="4">
        <f t="shared" si="8"/>
        <v>28714.68</v>
      </c>
      <c r="L18" s="2">
        <f t="shared" si="17"/>
        <v>103921829.9</v>
      </c>
      <c r="M18" s="34">
        <f t="shared" si="5"/>
        <v>103921830</v>
      </c>
      <c r="N18" s="34">
        <f t="shared" si="18"/>
        <v>-0.06609453261</v>
      </c>
      <c r="O18" s="2">
        <f>stock!AG13*stock_position!AX13/M18</f>
        <v>0.1656172964</v>
      </c>
      <c r="Q18" s="30"/>
    </row>
    <row r="19">
      <c r="A19" s="30">
        <v>46121.0</v>
      </c>
      <c r="B19" s="2">
        <f>stock!AF14*stock_position!BR5+stock!AG14*stock_position!AX5+stock!AB14*stock_position!BJ5+stock!AH14*stock_position!AZ5+stock!AA14*stock_position!BH10</f>
        <v>55194649.8</v>
      </c>
      <c r="C19" s="2">
        <f>stock!D14*stock_position!F14+stock!E14*stock_position!H14+stock!N14*stock_position!Z14+stock!F14*stock_position!J14+stock!O14*stock_position!AB14+stock!I14*stock_position!P14+stock!G14*stock_position!L14</f>
        <v>39338805.08</v>
      </c>
      <c r="D19" s="2">
        <f t="shared" si="15"/>
        <v>3014275.485</v>
      </c>
      <c r="E19" s="2">
        <f>(futures!E14-futures_position!$I$2)*100*100</f>
        <v>3271000</v>
      </c>
      <c r="F19" s="2">
        <f t="shared" si="16"/>
        <v>32312.35</v>
      </c>
      <c r="G19" s="4">
        <v>337.0</v>
      </c>
      <c r="H19" s="4">
        <v>32649.35</v>
      </c>
      <c r="I19" s="4">
        <f t="shared" si="8"/>
        <v>28714.68</v>
      </c>
      <c r="L19" s="2">
        <f t="shared" si="17"/>
        <v>106223911.5</v>
      </c>
      <c r="M19" s="34">
        <f t="shared" si="5"/>
        <v>106223912</v>
      </c>
      <c r="N19" s="34">
        <f t="shared" si="18"/>
        <v>-0.54546161</v>
      </c>
      <c r="O19" s="2">
        <f>stock!AG14*stock_position!AX14/M19</f>
        <v>0.1782134159</v>
      </c>
      <c r="Q19" s="30"/>
    </row>
    <row r="20">
      <c r="A20" s="30">
        <v>46122.0</v>
      </c>
      <c r="B20" s="2">
        <f>stock!AF15*stock_position!BR6+stock!AG15*stock_position!AX6+stock!AB15*stock_position!BJ6+stock!AH15*stock_position!AZ6+stock!AA15*stock_position!BH11</f>
        <v>55722561.9</v>
      </c>
      <c r="C20" s="2">
        <f>stock!D15*stock_position!F15+stock!E15*stock_position!H15+stock!N15*stock_position!Z15+stock!F15*stock_position!J15+stock!O15*stock_position!AB15+stock!I15*stock_position!P15+stock!G15*stock_position!L15</f>
        <v>40014901.45</v>
      </c>
      <c r="D20" s="2">
        <f t="shared" si="15"/>
        <v>4218283.954</v>
      </c>
      <c r="E20" s="2">
        <f>(futures!E15-futures_position!$I$2)*100*100</f>
        <v>3210000</v>
      </c>
      <c r="F20" s="2">
        <f t="shared" si="16"/>
        <v>32312.35</v>
      </c>
      <c r="G20" s="4">
        <v>337.0</v>
      </c>
      <c r="H20" s="4">
        <v>32649.35</v>
      </c>
      <c r="I20" s="4">
        <f t="shared" si="8"/>
        <v>28714.68</v>
      </c>
      <c r="L20" s="2">
        <f t="shared" si="17"/>
        <v>107366919.9</v>
      </c>
      <c r="M20" s="34">
        <f t="shared" si="5"/>
        <v>107366920</v>
      </c>
      <c r="N20" s="34">
        <f t="shared" si="18"/>
        <v>-0.07620552182</v>
      </c>
      <c r="O20" s="2">
        <f>stock!AG15*stock_position!AX15/M20</f>
        <v>0.1773990387</v>
      </c>
      <c r="Q20" s="30"/>
    </row>
    <row r="21">
      <c r="A21" s="33">
        <v>46123.0</v>
      </c>
      <c r="B21" s="2" t="str">
        <f t="shared" ref="B21:C21" si="19">C138</f>
        <v/>
      </c>
      <c r="C21" s="2" t="str">
        <f t="shared" si="19"/>
        <v/>
      </c>
      <c r="F21" s="2" t="str">
        <f>L94</f>
        <v/>
      </c>
      <c r="I21" s="4" t="str">
        <f t="shared" si="8"/>
        <v/>
      </c>
      <c r="M21" s="2" t="str">
        <f t="shared" si="5"/>
        <v/>
      </c>
      <c r="Q21" s="35"/>
    </row>
    <row r="22">
      <c r="A22" s="33">
        <v>46124.0</v>
      </c>
      <c r="B22" s="2" t="str">
        <f t="shared" ref="B22:C22" si="20">C139</f>
        <v/>
      </c>
      <c r="C22" s="11" t="str">
        <f t="shared" si="20"/>
        <v>賣出期貨損益</v>
      </c>
      <c r="D22" s="11">
        <f>G95</f>
        <v>5742500</v>
      </c>
      <c r="E22" s="20" t="s">
        <v>167</v>
      </c>
      <c r="F22" s="20">
        <v>3600000.0</v>
      </c>
      <c r="G22" s="20" t="s">
        <v>168</v>
      </c>
      <c r="H22" s="11">
        <f>D22-G234</f>
        <v>2142500</v>
      </c>
      <c r="M22" s="2" t="str">
        <f t="shared" si="5"/>
        <v/>
      </c>
      <c r="Q22" s="30"/>
    </row>
    <row r="23">
      <c r="A23" s="30">
        <v>46125.0</v>
      </c>
      <c r="B23" s="2">
        <f>stock!AG16*stock_position!AX2+stock!AB16*stock_position!BJ2+stock!AH16*stock_position!AZ2+stock!AA16*stock_position!BH7+stock!AC16*stock_position!BN16</f>
        <v>58406274.08</v>
      </c>
      <c r="C23" s="2">
        <f>stock!E16*stock_position!H16+stock!N16*stock_position!Z16+stock!F16*stock_position!J16+stock!O16*stock_position!AB16+stock!I16*stock_position!P16+stock!G16*stock_position!L16+stock!H16*stock_position!N16</f>
        <v>40377092.15</v>
      </c>
      <c r="D23" s="2">
        <f t="shared" ref="D23:D27" si="21">(B23+C23)-F$234</f>
        <v>9754180.838</v>
      </c>
      <c r="E23" s="2">
        <f>(futures!F16-futures_position!$K$16)*300*25000</f>
        <v>1533750</v>
      </c>
      <c r="F23" s="32">
        <f t="shared" ref="F23:F34" si="22">L96</f>
        <v>40613.31</v>
      </c>
      <c r="G23" s="4">
        <v>4424.0</v>
      </c>
      <c r="H23" s="32">
        <f t="shared" ref="H23:H27" si="23">G23+F23</f>
        <v>45037.31</v>
      </c>
      <c r="I23" s="36">
        <f t="shared" ref="I23:I34" si="24">O96</f>
        <v>57572.09</v>
      </c>
      <c r="L23" s="32">
        <f t="shared" ref="L23:L27" si="25">E$213+D23+E23-H23-I23</f>
        <v>111185321.4</v>
      </c>
      <c r="M23" s="34">
        <f t="shared" si="5"/>
        <v>111185322</v>
      </c>
      <c r="N23" s="32">
        <f t="shared" ref="N23:N27" si="26">L23-M23</f>
        <v>-0.5615914911</v>
      </c>
      <c r="O23" s="2">
        <f>stock!AG16*stock_position!AX16/M23</f>
        <v>0.1823200333</v>
      </c>
      <c r="Q23" s="30"/>
    </row>
    <row r="24">
      <c r="A24" s="30">
        <v>46126.0</v>
      </c>
      <c r="B24" s="2">
        <f>stock!AG17*stock_position!AX3+stock!AB17*stock_position!BJ3+stock!AH17*stock_position!AZ3+stock!AA17*stock_position!BH8+stock!AC17*stock_position!BN17</f>
        <v>56114088.72</v>
      </c>
      <c r="C24" s="2">
        <f>stock!E17*stock_position!H17+stock!N17*stock_position!Z17+stock!F17*stock_position!J17+stock!O17*stock_position!AB17+stock!I17*stock_position!P17+stock!G17*stock_position!L17+stock!H17*stock_position!N17</f>
        <v>40561065.55</v>
      </c>
      <c r="D24" s="2">
        <f t="shared" si="21"/>
        <v>7645968.881</v>
      </c>
      <c r="E24" s="2">
        <f>(futures!F17-futures_position!$K$16)*300*25000</f>
        <v>2145000</v>
      </c>
      <c r="F24" s="32">
        <f t="shared" si="22"/>
        <v>40613.31</v>
      </c>
      <c r="G24" s="4">
        <v>4424.0</v>
      </c>
      <c r="H24" s="32">
        <f t="shared" si="23"/>
        <v>45037.31</v>
      </c>
      <c r="I24" s="36">
        <f t="shared" si="24"/>
        <v>57572.09</v>
      </c>
      <c r="L24" s="32">
        <f t="shared" si="25"/>
        <v>109688359.5</v>
      </c>
      <c r="M24" s="34">
        <f t="shared" si="5"/>
        <v>109688360</v>
      </c>
      <c r="N24" s="32">
        <f t="shared" si="26"/>
        <v>-0.5186132044</v>
      </c>
      <c r="O24" s="2">
        <f>stock!AG17*stock_position!AX17/M24</f>
        <v>0.1674701861</v>
      </c>
      <c r="Q24" s="30"/>
    </row>
    <row r="25">
      <c r="A25" s="30">
        <v>46127.0</v>
      </c>
      <c r="B25" s="2">
        <f>stock!AG18*stock_position!AX4+stock!AB18*stock_position!BJ4+stock!AH18*stock_position!AZ4+stock!AA18*stock_position!BH9+stock!AC18*stock_position!BN18</f>
        <v>58240568.85</v>
      </c>
      <c r="C25" s="2">
        <f>stock!E18*stock_position!H18+stock!N18*stock_position!Z18+stock!F18*stock_position!J18+stock!O18*stock_position!AB18+stock!I18*stock_position!P18+stock!G18*stock_position!L18+stock!H18*stock_position!N18</f>
        <v>40454706.65</v>
      </c>
      <c r="D25" s="2">
        <f t="shared" si="21"/>
        <v>9666090.107</v>
      </c>
      <c r="E25" s="2">
        <f>(futures!F18-futures_position!$K$16)*300*25000</f>
        <v>2317500</v>
      </c>
      <c r="F25" s="32">
        <f t="shared" si="22"/>
        <v>40613.31</v>
      </c>
      <c r="G25" s="4">
        <v>4424.0</v>
      </c>
      <c r="H25" s="32">
        <f t="shared" si="23"/>
        <v>45037.31</v>
      </c>
      <c r="I25" s="36">
        <f t="shared" si="24"/>
        <v>57572.09</v>
      </c>
      <c r="L25" s="32">
        <f t="shared" si="25"/>
        <v>111880980.7</v>
      </c>
      <c r="M25" s="34">
        <f t="shared" si="5"/>
        <v>111880981</v>
      </c>
      <c r="N25" s="32">
        <f t="shared" si="26"/>
        <v>-0.2927360088</v>
      </c>
      <c r="O25" s="2">
        <f>stock!AG18*stock_position!AX18/M25</f>
        <v>0.1647804548</v>
      </c>
      <c r="Q25" s="30"/>
    </row>
    <row r="26">
      <c r="A26" s="30">
        <v>46128.0</v>
      </c>
      <c r="B26" s="2">
        <f>stock!AG19*stock_position!AX5+stock!AB19*stock_position!BJ5+stock!AH19*stock_position!AZ5+stock!AA19*stock_position!BH10+stock!AC19*stock_position!BN19</f>
        <v>58665675.67</v>
      </c>
      <c r="C26" s="2">
        <f>stock!E19*stock_position!H19+stock!N19*stock_position!Z19+stock!F19*stock_position!J19+stock!O19*stock_position!AB19+stock!I19*stock_position!P19+stock!G19*stock_position!L19+stock!H19*stock_position!N19</f>
        <v>42154429.91</v>
      </c>
      <c r="D26" s="2">
        <f t="shared" si="21"/>
        <v>11790920.19</v>
      </c>
      <c r="E26" s="2">
        <f>(futures!F19-futures_position!$K$16)*300*25000</f>
        <v>1691250</v>
      </c>
      <c r="F26" s="32">
        <f t="shared" si="22"/>
        <v>40613.31</v>
      </c>
      <c r="G26" s="4">
        <v>4424.0</v>
      </c>
      <c r="H26" s="32">
        <f t="shared" si="23"/>
        <v>45037.31</v>
      </c>
      <c r="I26" s="36">
        <f t="shared" si="24"/>
        <v>57572.09</v>
      </c>
      <c r="L26" s="32">
        <f t="shared" si="25"/>
        <v>113379560.8</v>
      </c>
      <c r="M26" s="34">
        <f t="shared" si="5"/>
        <v>113379561</v>
      </c>
      <c r="N26" s="32">
        <f t="shared" si="26"/>
        <v>-0.2089052498</v>
      </c>
      <c r="O26" s="2">
        <f>stock!AG19*stock_position!AX19/M26</f>
        <v>0.1635064933</v>
      </c>
      <c r="Q26" s="30"/>
    </row>
    <row r="27">
      <c r="A27" s="30">
        <v>46129.0</v>
      </c>
      <c r="B27" s="2">
        <f>stock!AG20*stock_position!AX6+stock!AB20*stock_position!BJ6+stock!AH20*stock_position!AZ6+stock!AA20*stock_position!BH11+stock!AC20*stock_position!BN20</f>
        <v>59905900.02</v>
      </c>
      <c r="C27" s="2">
        <f>stock!E20*stock_position!H20+stock!N20*stock_position!Z20+stock!F20*stock_position!J20+stock!O20*stock_position!AB20+stock!I20*stock_position!P20+stock!G20*stock_position!L20+stock!H20*stock_position!N20</f>
        <v>41717826.42</v>
      </c>
      <c r="D27" s="2">
        <f t="shared" si="21"/>
        <v>12594541.05</v>
      </c>
      <c r="E27" s="2">
        <f>(futures!F20-futures_position!$K$16)*300*25000</f>
        <v>2043750</v>
      </c>
      <c r="F27" s="32">
        <f t="shared" si="22"/>
        <v>40613.31</v>
      </c>
      <c r="G27" s="4">
        <v>4424.0</v>
      </c>
      <c r="H27" s="32">
        <f t="shared" si="23"/>
        <v>45037.31</v>
      </c>
      <c r="I27" s="36">
        <f t="shared" si="24"/>
        <v>57572.09</v>
      </c>
      <c r="L27" s="32">
        <f t="shared" si="25"/>
        <v>114535681.6</v>
      </c>
      <c r="M27" s="34">
        <f t="shared" si="5"/>
        <v>114535682</v>
      </c>
      <c r="N27" s="32">
        <f t="shared" si="26"/>
        <v>-0.352908805</v>
      </c>
      <c r="O27" s="2">
        <f>stock!AG20*stock_position!AX20/M27</f>
        <v>0.1675252368</v>
      </c>
      <c r="Q27" s="30"/>
    </row>
    <row r="28">
      <c r="A28" s="33">
        <v>46130.0</v>
      </c>
      <c r="B28" s="2" t="str">
        <f t="shared" ref="B28:C28" si="27">C145</f>
        <v/>
      </c>
      <c r="C28" s="2">
        <f t="shared" si="27"/>
        <v>101623726.4</v>
      </c>
      <c r="F28" s="2" t="str">
        <f t="shared" si="22"/>
        <v/>
      </c>
      <c r="I28" s="4" t="str">
        <f t="shared" si="24"/>
        <v/>
      </c>
      <c r="M28" s="2" t="str">
        <f t="shared" si="5"/>
        <v/>
      </c>
      <c r="Q28" s="30"/>
    </row>
    <row r="29">
      <c r="A29" s="33">
        <v>46131.0</v>
      </c>
      <c r="B29" s="2" t="str">
        <f t="shared" ref="B29:C29" si="28">C146</f>
        <v/>
      </c>
      <c r="C29" s="2" t="str">
        <f t="shared" si="28"/>
        <v/>
      </c>
      <c r="F29" s="2" t="str">
        <f t="shared" si="22"/>
        <v/>
      </c>
      <c r="I29" s="4" t="str">
        <f t="shared" si="24"/>
        <v/>
      </c>
      <c r="M29" s="2" t="str">
        <f t="shared" si="5"/>
        <v/>
      </c>
      <c r="N29" s="37"/>
      <c r="Q29" s="30"/>
    </row>
    <row r="30">
      <c r="A30" s="38">
        <v>46132.0</v>
      </c>
      <c r="B30" s="39">
        <f> stock!AG21*stock_position!AX21+stock!AB21*stock_position!BJ21+stock!AH21*stock_position!AZ21+stock!AC21*stock_position!BN21+stock!AD21*stock_position!BL21</f>
        <v>62124632.59</v>
      </c>
      <c r="C30" s="39">
        <f>stock!N21*stock_position!Z21+stock!O21*stock_position!AB21+stock!I21*stock_position!P21+stock!J21*stock_position!R21+stock!K21*stock_position!T21+stock!P21*stock_position!AD21+stock!Q21*stock_position!AF21+stock!L21*stock_position!V21</f>
        <v>41641396.38</v>
      </c>
      <c r="D30" s="39">
        <f t="shared" ref="D30:D34" si="29">(B30+C30)-F$241</f>
        <v>22894636.95</v>
      </c>
      <c r="E30" s="39">
        <f>(futures!F21-futures_position!$K$16)*300*25000</f>
        <v>1762500</v>
      </c>
      <c r="F30" s="40">
        <f t="shared" si="22"/>
        <v>52221.79</v>
      </c>
      <c r="G30" s="41">
        <v>4424.0</v>
      </c>
      <c r="H30" s="40">
        <f t="shared" ref="H30:H34" si="30">G30+F30</f>
        <v>56645.79</v>
      </c>
      <c r="I30" s="42">
        <f t="shared" si="24"/>
        <v>85044.73</v>
      </c>
      <c r="J30" s="39"/>
      <c r="K30" s="39"/>
      <c r="L30" s="40">
        <f t="shared" ref="L30:L34" si="31">E$213+B30+C30-(F$213-2659617.98)+E30-H30-I30</f>
        <v>116395828.4</v>
      </c>
      <c r="M30" s="39">
        <f t="shared" si="5"/>
        <v>116395828.4</v>
      </c>
      <c r="N30" s="43">
        <f t="shared" ref="N30:N34" si="32">L30-M30</f>
        <v>0.002121940255</v>
      </c>
      <c r="O30" s="39">
        <f>stock!AG21*stock_position!AX21/M30</f>
        <v>0.1747901242</v>
      </c>
      <c r="Q30" s="44"/>
    </row>
    <row r="31">
      <c r="A31" s="30">
        <v>46133.0</v>
      </c>
      <c r="B31" s="2">
        <f> stock!AG22*stock_position!AX22+stock!AB22*stock_position!BJ22+stock!AH22*stock_position!AZ22+stock!AC22*stock_position!BN22+stock!AD22*stock_position!BL22</f>
        <v>62043123.2</v>
      </c>
      <c r="C31" s="2">
        <f>stock!N22*stock_position!Z22+stock!O22*stock_position!AB22+stock!I22*stock_position!P22+stock!J22*stock_position!R22+stock!K22*stock_position!T22+stock!P22*stock_position!AD22+stock!Q22*stock_position!AF22+stock!L22*stock_position!V22</f>
        <v>41819488.26</v>
      </c>
      <c r="D31" s="23">
        <f t="shared" si="29"/>
        <v>22991219.44</v>
      </c>
      <c r="E31" s="2">
        <f>(futures!F22-futures_position!$K$16)*300*25000</f>
        <v>1863750</v>
      </c>
      <c r="F31" s="32">
        <f t="shared" si="22"/>
        <v>52221.79</v>
      </c>
      <c r="G31" s="4">
        <v>4424.0</v>
      </c>
      <c r="H31" s="32">
        <f t="shared" si="30"/>
        <v>56645.79</v>
      </c>
      <c r="I31" s="36">
        <f t="shared" si="24"/>
        <v>85044.73</v>
      </c>
      <c r="L31" s="45">
        <f t="shared" si="31"/>
        <v>116593660.9</v>
      </c>
      <c r="M31" s="32">
        <f t="shared" si="5"/>
        <v>116593660.9</v>
      </c>
      <c r="N31" s="46">
        <f t="shared" si="32"/>
        <v>-0.008092209697</v>
      </c>
      <c r="O31" s="2">
        <f>stock!AG22*stock_position!AX22/M31</f>
        <v>0.174241647</v>
      </c>
      <c r="Q31" s="30"/>
    </row>
    <row r="32">
      <c r="A32" s="30">
        <v>46134.0</v>
      </c>
      <c r="B32" s="2">
        <f> stock!AG23*stock_position!AX23+stock!AB23*stock_position!BJ23+stock!AH23*stock_position!AZ23+stock!AC23*stock_position!BN23+stock!AD23*stock_position!BL23</f>
        <v>61653787.13</v>
      </c>
      <c r="C32" s="2">
        <f>stock!N23*stock_position!Z23+stock!O23*stock_position!AB23+stock!I23*stock_position!P23+stock!J23*stock_position!R23+stock!K23*stock_position!T23+stock!P23*stock_position!AD23+stock!Q23*stock_position!AF23+stock!L23*stock_position!V23</f>
        <v>43472919.99</v>
      </c>
      <c r="D32" s="23">
        <f t="shared" si="29"/>
        <v>24255315.1</v>
      </c>
      <c r="E32" s="2">
        <f>(futures!F23-futures_position!$K$16)*300*25000</f>
        <v>1942500</v>
      </c>
      <c r="F32" s="32">
        <f t="shared" si="22"/>
        <v>52221.79</v>
      </c>
      <c r="G32" s="4">
        <v>4424.0</v>
      </c>
      <c r="H32" s="32">
        <f t="shared" si="30"/>
        <v>56645.79</v>
      </c>
      <c r="I32" s="36">
        <f t="shared" si="24"/>
        <v>85044.73</v>
      </c>
      <c r="L32" s="45">
        <f t="shared" si="31"/>
        <v>117936506.6</v>
      </c>
      <c r="M32" s="32">
        <f t="shared" si="5"/>
        <v>117936506.6</v>
      </c>
      <c r="N32" s="46">
        <f t="shared" si="32"/>
        <v>0.01015873253</v>
      </c>
      <c r="O32" s="2">
        <f>stock!AG23*stock_position!AX23/M32</f>
        <v>0.1719842763</v>
      </c>
      <c r="Q32" s="30"/>
    </row>
    <row r="33">
      <c r="A33" s="30">
        <v>46135.0</v>
      </c>
      <c r="B33" s="2">
        <f> stock!AG24*stock_position!AX24+stock!AB24*stock_position!BJ24+stock!AH24*stock_position!AZ24+stock!AC24*stock_position!BN24+stock!AD24*stock_position!BL24</f>
        <v>57912941.91</v>
      </c>
      <c r="C33" s="2">
        <f>stock!N24*stock_position!Z24+stock!O24*stock_position!AB24+stock!I24*stock_position!P24+stock!J24*stock_position!R24+stock!K24*stock_position!T24+stock!P24*stock_position!AD24+stock!Q24*stock_position!AF24+stock!L24*stock_position!V24</f>
        <v>42494392.11</v>
      </c>
      <c r="D33" s="23">
        <f t="shared" si="29"/>
        <v>19535942</v>
      </c>
      <c r="E33" s="2">
        <f>(futures!F24-futures_position!$K$16)*300*25000</f>
        <v>1488750</v>
      </c>
      <c r="F33" s="32">
        <f t="shared" si="22"/>
        <v>52221.79</v>
      </c>
      <c r="G33" s="4">
        <v>4424.0</v>
      </c>
      <c r="H33" s="32">
        <f t="shared" si="30"/>
        <v>56645.79</v>
      </c>
      <c r="I33" s="36">
        <f t="shared" si="24"/>
        <v>85044.73</v>
      </c>
      <c r="L33" s="45">
        <f t="shared" si="31"/>
        <v>112763383.5</v>
      </c>
      <c r="M33" s="47">
        <v>1.12763383E8</v>
      </c>
      <c r="N33" s="46">
        <f t="shared" si="32"/>
        <v>0.4794363528</v>
      </c>
      <c r="O33" s="2">
        <f>stock!AG24*stock_position!AX24/M33</f>
        <v>0.164987523</v>
      </c>
      <c r="Q33" s="30"/>
    </row>
    <row r="34">
      <c r="A34" s="30">
        <v>46136.0</v>
      </c>
      <c r="B34" s="2">
        <f> stock!AG25*stock_position!AX25+stock!AB25*stock_position!BJ25+stock!AH25*stock_position!AZ25+stock!AC25*stock_position!BN25+stock!AD25*stock_position!BL25</f>
        <v>60490612.03</v>
      </c>
      <c r="C34" s="2">
        <f>stock!N25*stock_position!Z25+stock!O25*stock_position!AB25+stock!I25*stock_position!P25+stock!J25*stock_position!R25+stock!K25*stock_position!T25+stock!P25*stock_position!AD25+stock!Q25*stock_position!AF25+stock!L25*stock_position!V25</f>
        <v>43206837.92</v>
      </c>
      <c r="D34" s="23">
        <f t="shared" si="29"/>
        <v>22826057.93</v>
      </c>
      <c r="E34" s="2">
        <f>(futures!F25-futures_position!$K$16)*300*25000</f>
        <v>1646250</v>
      </c>
      <c r="F34" s="32">
        <f t="shared" si="22"/>
        <v>52221.79</v>
      </c>
      <c r="G34" s="4">
        <v>4424.0</v>
      </c>
      <c r="H34" s="32">
        <f t="shared" si="30"/>
        <v>56645.79</v>
      </c>
      <c r="I34" s="36">
        <f t="shared" si="24"/>
        <v>85044.73</v>
      </c>
      <c r="L34" s="45">
        <f t="shared" si="31"/>
        <v>116210999.4</v>
      </c>
      <c r="M34" s="47">
        <v>1.16210999E8</v>
      </c>
      <c r="N34" s="46">
        <f t="shared" si="32"/>
        <v>0.405396834</v>
      </c>
      <c r="O34" s="2">
        <f>stock!AG25*stock_position!AX25/M34</f>
        <v>0.1764236724</v>
      </c>
      <c r="Q34" s="30"/>
    </row>
    <row r="35">
      <c r="A35" s="33">
        <v>46137.0</v>
      </c>
      <c r="B35" s="48" t="str">
        <f t="shared" ref="B35:C35" si="33">C152</f>
        <v>0424股票淨值</v>
      </c>
      <c r="C35" s="48">
        <f t="shared" si="33"/>
        <v>103697449.9</v>
      </c>
      <c r="L35" s="23"/>
      <c r="N35" s="37"/>
      <c r="Q35" s="30"/>
    </row>
    <row r="36">
      <c r="A36" s="33">
        <v>46138.0</v>
      </c>
      <c r="I36" s="4"/>
      <c r="L36" s="23"/>
      <c r="N36" s="37"/>
      <c r="Q36" s="30"/>
    </row>
    <row r="37">
      <c r="A37" s="30">
        <v>46139.0</v>
      </c>
      <c r="B37" s="2">
        <f>stock!AE26*stock_position!BP26+stock!AG26*stock_position!AX26+stock!AH26*stock_position!AZ26+stock!AI26*stock_position!BB26</f>
        <v>58335338.64</v>
      </c>
      <c r="C37" s="2">
        <f>stock!N26*stock_position!Z26+stock!O26*stock_position!AB26+stock!I26*stock_position!P26+stock!J26*stock_position!R26+stock!K26*stock_position!T26+stock!P26*stock_position!AD26+stock!Q26*stock_position!AF26+stock!L26*stock_position!V26+stock!R26*stock_position!AH26</f>
        <v>48173039.31</v>
      </c>
      <c r="D37" s="2">
        <f t="shared" ref="D37:D41" si="34">(B37+C37)-F$241</f>
        <v>25636985.93</v>
      </c>
      <c r="E37" s="2">
        <f>(futures!F26-futures_position!$K$16)*300*25000</f>
        <v>1500000</v>
      </c>
      <c r="F37" s="2">
        <f t="shared" ref="F37:F41" si="35">H37-G37</f>
        <v>65551.01</v>
      </c>
      <c r="G37" s="4">
        <v>4424.0</v>
      </c>
      <c r="H37" s="4">
        <v>69975.01</v>
      </c>
      <c r="I37" s="4">
        <v>128354.12</v>
      </c>
      <c r="L37" s="23">
        <f>E$213+B37+C37-(F$213+2400656)+E37-H37-I37</f>
        <v>113758764.8</v>
      </c>
      <c r="M37" s="49">
        <v>1.13758764E8</v>
      </c>
      <c r="N37" s="46">
        <f t="shared" ref="N37:N41" si="36">L37-M37</f>
        <v>0.8235832304</v>
      </c>
      <c r="O37" s="2">
        <f>stock!AG26*stock_position!AX26/M37</f>
        <v>0.2117266543</v>
      </c>
      <c r="Q37" s="30"/>
    </row>
    <row r="38">
      <c r="A38" s="30">
        <v>46140.0</v>
      </c>
      <c r="B38" s="2">
        <f>stock!AE27*stock_position!BP27+stock!AG27*stock_position!AX27+stock!AH27*stock_position!AZ27+stock!AI27*stock_position!BB27</f>
        <v>60304514.93</v>
      </c>
      <c r="C38" s="2">
        <f>stock!N27*stock_position!Z27+stock!O27*stock_position!AB27+stock!I27*stock_position!P27+stock!J27*stock_position!R27+stock!K27*stock_position!T27+stock!P27*stock_position!AD27+stock!Q27*stock_position!AF27+stock!L27*stock_position!V27+stock!R27*stock_position!AH27</f>
        <v>46924824.27</v>
      </c>
      <c r="D38" s="2">
        <f t="shared" si="34"/>
        <v>26357947.18</v>
      </c>
      <c r="E38" s="2">
        <f>(futures!F27-futures_position!$K$16)*300*25000</f>
        <v>1548750</v>
      </c>
      <c r="F38" s="2">
        <f t="shared" si="35"/>
        <v>65551.01</v>
      </c>
      <c r="G38" s="4">
        <v>4424.0</v>
      </c>
      <c r="H38" s="4">
        <v>69975.01</v>
      </c>
      <c r="I38" s="4">
        <v>128354.12</v>
      </c>
      <c r="L38" s="23">
        <f t="shared" ref="L38:L41" si="37">E$213+B38+C38-(F$213+2399656)+E38-H38-I38</f>
        <v>114529476.1</v>
      </c>
      <c r="M38" s="49">
        <v>1.14529475E8</v>
      </c>
      <c r="N38" s="46">
        <f t="shared" si="36"/>
        <v>1.068729803</v>
      </c>
      <c r="O38" s="2">
        <f>stock!AG27*stock_position!AX27/M38</f>
        <v>0.2305390029</v>
      </c>
      <c r="Q38" s="30"/>
    </row>
    <row r="39">
      <c r="A39" s="30">
        <v>46141.0</v>
      </c>
      <c r="B39" s="2">
        <f>stock!AE28*stock_position!BP28+stock!AG28*stock_position!AX28+stock!AH28*stock_position!AZ28+stock!AI28*stock_position!BB28</f>
        <v>62822397.34</v>
      </c>
      <c r="C39" s="2">
        <f>stock!N28*stock_position!Z28+stock!O28*stock_position!AB28+stock!I28*stock_position!P28+stock!J28*stock_position!R28+stock!K28*stock_position!T28+stock!P28*stock_position!AD28+stock!Q28*stock_position!AF28+stock!L28*stock_position!V28+stock!R28*stock_position!AH28</f>
        <v>49516893.45</v>
      </c>
      <c r="D39" s="2">
        <f t="shared" si="34"/>
        <v>31467898.77</v>
      </c>
      <c r="E39" s="2">
        <f>(futures!F28-futures_position!$K$16)*300*25000</f>
        <v>1432500</v>
      </c>
      <c r="F39" s="2">
        <f t="shared" si="35"/>
        <v>65551.01</v>
      </c>
      <c r="G39" s="4">
        <v>4424.0</v>
      </c>
      <c r="H39" s="4">
        <v>69975.01</v>
      </c>
      <c r="I39" s="4">
        <v>128354.12</v>
      </c>
      <c r="L39" s="23">
        <f t="shared" si="37"/>
        <v>119523177.7</v>
      </c>
      <c r="M39" s="49">
        <v>1.19523177E8</v>
      </c>
      <c r="N39" s="46">
        <f t="shared" si="36"/>
        <v>0.6626573056</v>
      </c>
      <c r="O39" s="2">
        <f>stock!AG28*stock_position!AX28/M39</f>
        <v>0.2437703227</v>
      </c>
      <c r="Q39" s="30"/>
    </row>
    <row r="40">
      <c r="A40" s="30">
        <v>46142.0</v>
      </c>
      <c r="B40" s="2">
        <f>stock!AE29*stock_position!BP29+stock!AG29*stock_position!AX29+stock!AH29*stock_position!AZ29+stock!AI29*stock_position!BB29</f>
        <v>64939874.57</v>
      </c>
      <c r="C40" s="2">
        <f>stock!N29*stock_position!Z29+stock!O29*stock_position!AB29+stock!I29*stock_position!P29+stock!J29*stock_position!R29+stock!K29*stock_position!T29+stock!P29*stock_position!AD29+stock!Q29*stock_position!AF29+stock!L29*stock_position!V29+stock!R29*stock_position!AH29</f>
        <v>51296213.74</v>
      </c>
      <c r="D40" s="2">
        <f t="shared" si="34"/>
        <v>35364696.29</v>
      </c>
      <c r="E40" s="2">
        <f>(futures!F29-futures_position!$K$16)*300*25000</f>
        <v>1601250</v>
      </c>
      <c r="F40" s="2">
        <f t="shared" si="35"/>
        <v>65551.01</v>
      </c>
      <c r="G40" s="4">
        <v>4424.0</v>
      </c>
      <c r="H40" s="4">
        <v>69975.01</v>
      </c>
      <c r="I40" s="4">
        <v>128354.12</v>
      </c>
      <c r="L40" s="23">
        <f t="shared" si="37"/>
        <v>123588725.2</v>
      </c>
      <c r="M40" s="49">
        <v>1.23588724E8</v>
      </c>
      <c r="N40" s="46">
        <f t="shared" si="36"/>
        <v>1.183863625</v>
      </c>
      <c r="O40" s="2">
        <f>stock!AG29*stock_position!AX29/M40</f>
        <v>0.2565634486</v>
      </c>
      <c r="Q40" s="30"/>
    </row>
    <row r="41">
      <c r="A41" s="44">
        <v>46143.0</v>
      </c>
      <c r="B41" s="2">
        <f>stock!AE30*stock_position!BP30+stock!AG30*stock_position!AX30+stock!AH30*stock_position!AZ30+stock!AI30*stock_position!BB30</f>
        <v>64939874.57</v>
      </c>
      <c r="C41" s="2">
        <f>stock!N30*stock_position!Z30+stock!O30*stock_position!AB30+stock!I30*stock_position!P30+stock!J30*stock_position!R30+stock!K30*stock_position!T30+stock!P30*stock_position!AD30+stock!Q30*stock_position!AF30+stock!L30*stock_position!V30+stock!R30*stock_position!AH30</f>
        <v>52008864.18</v>
      </c>
      <c r="D41" s="2">
        <f t="shared" si="34"/>
        <v>36077346.73</v>
      </c>
      <c r="E41" s="2">
        <f>(futures!F30-futures_position!$K$16)*300*25000</f>
        <v>1166250</v>
      </c>
      <c r="F41" s="2">
        <f t="shared" si="35"/>
        <v>65551.01</v>
      </c>
      <c r="G41" s="4">
        <v>4424.0</v>
      </c>
      <c r="H41" s="4">
        <v>69975.01</v>
      </c>
      <c r="I41" s="4">
        <v>128354.12</v>
      </c>
      <c r="L41" s="23">
        <f t="shared" si="37"/>
        <v>123866375.6</v>
      </c>
      <c r="M41" s="49">
        <v>1.23866375E8</v>
      </c>
      <c r="N41" s="46">
        <f t="shared" si="36"/>
        <v>0.6238636225</v>
      </c>
      <c r="O41" s="2">
        <f>stock!AG30*stock_position!AX30/M41</f>
        <v>0.2559883523</v>
      </c>
      <c r="Q41" s="30"/>
    </row>
    <row r="42">
      <c r="A42" s="33">
        <v>46144.0</v>
      </c>
      <c r="L42" s="23"/>
      <c r="N42" s="37"/>
      <c r="Q42" s="30"/>
    </row>
    <row r="43">
      <c r="A43" s="33">
        <v>46145.0</v>
      </c>
      <c r="L43" s="23"/>
      <c r="N43" s="37"/>
      <c r="Q43" s="30"/>
    </row>
    <row r="44">
      <c r="A44" s="30">
        <v>46146.0</v>
      </c>
      <c r="B44" s="2">
        <f>stock!AG31*stock_position!AX31+stock!AH31*stock_position!AZ31+stock!AI31*stock_position!BB31+stock!AF31*stock_position!BR31</f>
        <v>70019933.45</v>
      </c>
      <c r="C44" s="2">
        <f>stock!N31*stock_position!Z31+stock!O31*stock_position!AB31+stock!I31*stock_position!P31+stock!J31*stock_position!R31+stock!K31*stock_position!T31+stock!P31*stock_position!AD31+stock!Q31*stock_position!AF31+stock!L31*stock_position!V31+stock!R31*stock_position!AH31</f>
        <v>51426932.06</v>
      </c>
      <c r="D44" s="2">
        <f t="shared" ref="D44:D48" si="38">(B44+C44)-F$241</f>
        <v>40575473.49</v>
      </c>
      <c r="E44" s="2">
        <f>(futures!F31-futures_position!$K$16)*300*25000</f>
        <v>536250</v>
      </c>
      <c r="F44" s="2">
        <f t="shared" ref="F44:F48" si="39">H44-G44</f>
        <v>77964.77</v>
      </c>
      <c r="G44" s="4">
        <v>4424.0</v>
      </c>
      <c r="H44" s="4">
        <v>82388.77</v>
      </c>
      <c r="I44" s="4">
        <v>181601.78</v>
      </c>
      <c r="L44" s="23">
        <f t="shared" ref="L44:L46" si="40">E$213+B44+C44-(F$213+2362140)+E44-H44-I44</f>
        <v>127706357</v>
      </c>
      <c r="M44" s="50">
        <v>1.27706356E8</v>
      </c>
      <c r="N44" s="46">
        <f t="shared" ref="N44:N48" si="41">L44-M44</f>
        <v>0.9644879848</v>
      </c>
      <c r="O44" s="2">
        <f>stock!AG31*stock_position!AX31/M44</f>
        <v>0.2725093013</v>
      </c>
      <c r="Q44" s="30"/>
    </row>
    <row r="45">
      <c r="A45" s="30">
        <v>46147.0</v>
      </c>
      <c r="B45" s="2">
        <f>stock!AG32*stock_position!AX32+stock!AH32*stock_position!AZ32+stock!AI32*stock_position!BB32+stock!AF32*stock_position!BR32</f>
        <v>73881206.58</v>
      </c>
      <c r="C45" s="2">
        <f>stock!N32*stock_position!Z32+stock!O32*stock_position!AB32+stock!I32*stock_position!P32+stock!J32*stock_position!R32+stock!K32*stock_position!T32+stock!P32*stock_position!AD32+stock!Q32*stock_position!AF32+stock!L32*stock_position!V32+stock!R32*stock_position!AH32</f>
        <v>53179553.65</v>
      </c>
      <c r="D45" s="2">
        <f t="shared" si="38"/>
        <v>46189368.21</v>
      </c>
      <c r="E45" s="2">
        <f>(futures!F32-futures_position!$K$16)*300*25000</f>
        <v>1950000</v>
      </c>
      <c r="F45" s="2">
        <f t="shared" si="39"/>
        <v>77964.77</v>
      </c>
      <c r="G45" s="4">
        <v>4424.0</v>
      </c>
      <c r="H45" s="4">
        <v>82388.77</v>
      </c>
      <c r="I45" s="4">
        <v>181601.78</v>
      </c>
      <c r="L45" s="23">
        <f t="shared" si="40"/>
        <v>134734001.7</v>
      </c>
      <c r="M45" s="47">
        <v>1.34734001E8</v>
      </c>
      <c r="N45" s="51">
        <f t="shared" si="41"/>
        <v>0.6801961362</v>
      </c>
      <c r="O45" s="2">
        <f>stock!AG32*stock_position!AX32/M45</f>
        <v>0.2834874107</v>
      </c>
      <c r="Q45" s="30"/>
    </row>
    <row r="46">
      <c r="A46" s="30">
        <v>46148.0</v>
      </c>
      <c r="B46" s="2">
        <f>stock!AG33*stock_position!AX33+stock!AH33*stock_position!AZ33+stock!AI33*stock_position!BB33+stock!AF33*stock_position!BR33</f>
        <v>69687310.64</v>
      </c>
      <c r="C46" s="2">
        <f>stock!N33*stock_position!Z33+stock!O33*stock_position!AB33+stock!I33*stock_position!P33+stock!J33*stock_position!R33+stock!K33*stock_position!T33+stock!P33*stock_position!AD33+stock!Q33*stock_position!AF33+stock!L33*stock_position!V33+stock!R33*stock_position!AH33</f>
        <v>54158946.62</v>
      </c>
      <c r="D46" s="2">
        <f t="shared" si="38"/>
        <v>42974865.24</v>
      </c>
      <c r="E46" s="2">
        <f>(futures!F33-futures_position!$K$16)*300*25000</f>
        <v>2756250</v>
      </c>
      <c r="F46" s="2">
        <f t="shared" si="39"/>
        <v>77964.77</v>
      </c>
      <c r="G46" s="4">
        <v>4424.0</v>
      </c>
      <c r="H46" s="4">
        <v>82388.77</v>
      </c>
      <c r="I46" s="4">
        <v>181601.78</v>
      </c>
      <c r="L46" s="23">
        <f t="shared" si="40"/>
        <v>132325748.7</v>
      </c>
      <c r="M46" s="47">
        <v>1.32325748E8</v>
      </c>
      <c r="N46" s="51">
        <f t="shared" si="41"/>
        <v>0.7116772681</v>
      </c>
      <c r="O46" s="2">
        <f>stock!AG33*stock_position!AX33/M46</f>
        <v>0.2608548451</v>
      </c>
      <c r="Q46" s="30"/>
    </row>
    <row r="47">
      <c r="A47" s="30">
        <v>46149.0</v>
      </c>
      <c r="B47" s="2">
        <f>stock!AG34*stock_position!AX34+stock!AH34*stock_position!AZ34+stock!AI34*stock_position!BB34+stock!AF34*stock_position!BR34</f>
        <v>69326529.75</v>
      </c>
      <c r="C47" s="2">
        <f>stock!N34*stock_position!Z34+stock!O34*stock_position!AB34+stock!I34*stock_position!P34+stock!J34*stock_position!R34+stock!K34*stock_position!T34+stock!P34*stock_position!AD34+stock!Q34*stock_position!AF34+stock!L34*stock_position!V34+stock!R34*stock_position!AH34</f>
        <v>52715825.47</v>
      </c>
      <c r="D47" s="2">
        <f t="shared" si="38"/>
        <v>41170963.2</v>
      </c>
      <c r="E47" s="2">
        <f>(futures!F34-futures_position!$K$16)*300*25000</f>
        <v>2752500</v>
      </c>
      <c r="F47" s="2">
        <f t="shared" si="39"/>
        <v>77964.77</v>
      </c>
      <c r="G47" s="4">
        <v>4424.0</v>
      </c>
      <c r="H47" s="4">
        <v>82388.77</v>
      </c>
      <c r="I47" s="4">
        <v>181601.78</v>
      </c>
      <c r="J47" s="4">
        <v>16818.0</v>
      </c>
      <c r="K47" s="2">
        <f t="shared" ref="K47:K48" si="42">SUM($J$2:J47)</f>
        <v>16818</v>
      </c>
      <c r="L47" s="23">
        <f t="shared" ref="L47:L48" si="43">E$213+B47+C47-(F$213+2362140)+E47-H47-I47+K47</f>
        <v>130534914.7</v>
      </c>
      <c r="M47" s="47">
        <v>1.30534914E8</v>
      </c>
      <c r="N47" s="51">
        <f t="shared" si="41"/>
        <v>0.6652229279</v>
      </c>
      <c r="O47" s="2">
        <f>stock!AG34*stock_position!AX34/M47</f>
        <v>0.2545029886</v>
      </c>
      <c r="Q47" s="30"/>
    </row>
    <row r="48">
      <c r="A48" s="30">
        <v>46150.0</v>
      </c>
      <c r="B48" s="2">
        <f>stock!AG35*stock_position!AX35+stock!AH35*stock_position!AZ35+stock!AI35*stock_position!BB35+stock!AF35*stock_position!BR35</f>
        <v>66496469.23</v>
      </c>
      <c r="C48" s="2">
        <f>stock!N35*stock_position!Z35+stock!O35*stock_position!AB35+stock!I35*stock_position!P35+stock!J35*stock_position!R35+stock!K35*stock_position!T35+stock!P35*stock_position!AD35+stock!Q35*stock_position!AF35+stock!L35*stock_position!V35+stock!R35*stock_position!AH35</f>
        <v>54804984.88</v>
      </c>
      <c r="D48" s="2">
        <f t="shared" si="38"/>
        <v>40430062.09</v>
      </c>
      <c r="E48" s="2">
        <f>(futures!F35-futures_position!$K$16)*300*25000</f>
        <v>3551250</v>
      </c>
      <c r="F48" s="2">
        <f t="shared" si="39"/>
        <v>77964.77</v>
      </c>
      <c r="G48" s="4">
        <v>4424.0</v>
      </c>
      <c r="H48" s="4">
        <v>82388.77</v>
      </c>
      <c r="I48" s="4">
        <v>181601.78</v>
      </c>
      <c r="J48" s="4">
        <v>57123.8</v>
      </c>
      <c r="K48" s="2">
        <f t="shared" si="42"/>
        <v>73941.8</v>
      </c>
      <c r="L48" s="23">
        <f t="shared" si="43"/>
        <v>130649887.4</v>
      </c>
      <c r="M48" s="47">
        <v>1.30649886E8</v>
      </c>
      <c r="N48" s="51">
        <f t="shared" si="41"/>
        <v>1.363216668</v>
      </c>
      <c r="O48" s="2">
        <f>stock!AG35*stock_position!AX35/M48</f>
        <v>0.2434514694</v>
      </c>
    </row>
    <row r="49">
      <c r="A49" s="33">
        <v>46151.0</v>
      </c>
      <c r="L49" s="23"/>
      <c r="N49" s="37"/>
    </row>
    <row r="50">
      <c r="A50" s="33">
        <v>46152.0</v>
      </c>
      <c r="L50" s="23"/>
      <c r="N50" s="37"/>
    </row>
    <row r="51">
      <c r="A51" s="30">
        <v>46153.0</v>
      </c>
      <c r="B51" s="2">
        <f>stock!AG36*stock_position!AX36+stock!AH36*stock_position!AZ36+stock!AI36*stock_position!BB36+stock!AF36*stock_position!BR36</f>
        <v>71078995.97</v>
      </c>
      <c r="C51" s="2">
        <f>stock!N36*stock_position!Z36+stock!O36*stock_position!AB36+stock!P36*stock_position!AD36+stock!Q36*stock_position!AF36+stock!L36*stock_position!V36+stock!R36*stock_position!AH36+stock!S36*stock_position!AJ36+stock!M36*stock_position!X36+stock!T36*stock_position!AL36</f>
        <v>58185329.37</v>
      </c>
      <c r="D51" s="2">
        <f t="shared" ref="D51:D55" si="44">(B51+C51)-F$241</f>
        <v>48392933.32</v>
      </c>
      <c r="E51" s="2">
        <f>(futures!F36-futures_position!$K$16)*300*25000</f>
        <v>4957500</v>
      </c>
      <c r="F51" s="2">
        <f t="shared" ref="F51:F55" si="45">H51-G51</f>
        <v>83824.6</v>
      </c>
      <c r="G51" s="4">
        <v>4424.0</v>
      </c>
      <c r="H51" s="4">
        <v>88248.6</v>
      </c>
      <c r="I51" s="36">
        <v>181601.78</v>
      </c>
      <c r="J51" s="4">
        <v>101319.0</v>
      </c>
      <c r="K51" s="2">
        <f t="shared" ref="K51:K55" si="46">SUM($J$2:J51)</f>
        <v>175260.8</v>
      </c>
      <c r="L51" s="45">
        <f t="shared" ref="L51:L55" si="47">E$213+B51+C51-(F$213+2426378)+E51-H51-I51+K51</f>
        <v>140050229.8</v>
      </c>
      <c r="M51" s="47">
        <v>1.40050229E8</v>
      </c>
      <c r="N51" s="46">
        <f t="shared" ref="N51:N55" si="48">L51-M51</f>
        <v>0.7626202106</v>
      </c>
      <c r="O51" s="2">
        <f>stock!AG36*stock_position!AX36/M51</f>
        <v>0.2492123546</v>
      </c>
    </row>
    <row r="52">
      <c r="A52" s="30">
        <v>46154.0</v>
      </c>
      <c r="B52" s="2">
        <f>stock!AG37*stock_position!AX37+stock!AH37*stock_position!AZ37+stock!AI37*stock_position!BB37+stock!AF37*stock_position!BR37</f>
        <v>73115789.6</v>
      </c>
      <c r="C52" s="2">
        <f>stock!N37*stock_position!Z37+stock!O37*stock_position!AB37+stock!P37*stock_position!AD37+stock!Q37*stock_position!AF37+stock!L37*stock_position!V37+stock!R37*stock_position!AH37+stock!S37*stock_position!AJ37+stock!M37*stock_position!X37+stock!T37*stock_position!AL37</f>
        <v>57299618.59</v>
      </c>
      <c r="D52" s="2">
        <f t="shared" si="44"/>
        <v>49544016.17</v>
      </c>
      <c r="E52" s="2">
        <f>(futures!F37-futures_position!$K$16)*300*25000</f>
        <v>6337500</v>
      </c>
      <c r="F52" s="2">
        <f t="shared" si="45"/>
        <v>83824.6</v>
      </c>
      <c r="G52" s="4">
        <v>4424.0</v>
      </c>
      <c r="H52" s="4">
        <v>88248.6</v>
      </c>
      <c r="I52" s="36">
        <v>181601.78</v>
      </c>
      <c r="K52" s="2">
        <f t="shared" si="46"/>
        <v>175260.8</v>
      </c>
      <c r="L52" s="45">
        <f t="shared" si="47"/>
        <v>142581312.6</v>
      </c>
      <c r="M52" s="52">
        <v>1.42581312E8</v>
      </c>
      <c r="N52" s="46">
        <f t="shared" si="48"/>
        <v>0.6131746471</v>
      </c>
      <c r="O52" s="2">
        <f>stock!AG37*stock_position!AX37/M52</f>
        <v>0.2516159501</v>
      </c>
    </row>
    <row r="53">
      <c r="A53" s="30">
        <v>46155.0</v>
      </c>
      <c r="B53" s="2">
        <f>stock!AG38*stock_position!AX38+stock!AH38*stock_position!AZ38+stock!AI38*stock_position!BB38+stock!AF38*stock_position!BR38</f>
        <v>73229977.37</v>
      </c>
      <c r="C53" s="2">
        <f>stock!N38*stock_position!Z38+stock!O38*stock_position!AB38+stock!P38*stock_position!AD38+stock!Q38*stock_position!AF38+stock!L38*stock_position!V38+stock!R38*stock_position!AH38+stock!S38*stock_position!AJ38+stock!M38*stock_position!X38+stock!T38*stock_position!AL38</f>
        <v>60377029.04</v>
      </c>
      <c r="D53" s="2">
        <f t="shared" si="44"/>
        <v>52735614.39</v>
      </c>
      <c r="E53" s="2">
        <f>(futures!F38-futures_position!$K$16)*300*25000</f>
        <v>6198750</v>
      </c>
      <c r="F53" s="2">
        <f t="shared" si="45"/>
        <v>83824.6</v>
      </c>
      <c r="G53" s="4">
        <v>4424.0</v>
      </c>
      <c r="H53" s="4">
        <v>88248.6</v>
      </c>
      <c r="I53" s="36">
        <v>181601.78</v>
      </c>
      <c r="K53" s="2">
        <f t="shared" si="46"/>
        <v>175260.8</v>
      </c>
      <c r="L53" s="45">
        <f t="shared" si="47"/>
        <v>145634160.8</v>
      </c>
      <c r="M53" s="47">
        <v>1.4563416E8</v>
      </c>
      <c r="N53" s="46">
        <f t="shared" si="48"/>
        <v>0.8292551339</v>
      </c>
      <c r="O53" s="2">
        <f>stock!AG38*stock_position!AX38/M53</f>
        <v>0.249104285</v>
      </c>
    </row>
    <row r="54">
      <c r="A54" s="30">
        <v>46156.0</v>
      </c>
      <c r="B54" s="2">
        <f>stock!AG39*stock_position!AX39+stock!AH39*stock_position!AZ39+stock!AI39*stock_position!BB39+stock!AF39*stock_position!BR39</f>
        <v>72527844.21</v>
      </c>
      <c r="C54" s="2">
        <f>stock!N39*stock_position!Z39+stock!O39*stock_position!AB39+stock!P39*stock_position!AD39+stock!Q39*stock_position!AF39+stock!L39*stock_position!V39+stock!R39*stock_position!AH39+stock!S39*stock_position!AJ39+stock!M39*stock_position!X39+stock!T39*stock_position!AL39</f>
        <v>60781753.36</v>
      </c>
      <c r="D54" s="2">
        <f t="shared" si="44"/>
        <v>52438205.55</v>
      </c>
      <c r="E54" s="2">
        <f>(futures!F39-futures_position!$K$16)*300*25000</f>
        <v>5512500</v>
      </c>
      <c r="F54" s="2">
        <f t="shared" si="45"/>
        <v>83824.6</v>
      </c>
      <c r="G54" s="4">
        <v>4424.0</v>
      </c>
      <c r="H54" s="4">
        <v>88248.6</v>
      </c>
      <c r="I54" s="36">
        <v>181601.78</v>
      </c>
      <c r="K54" s="2">
        <f t="shared" si="46"/>
        <v>175260.8</v>
      </c>
      <c r="L54" s="45">
        <f t="shared" si="47"/>
        <v>144650502</v>
      </c>
      <c r="M54" s="47">
        <v>1.44650502E8</v>
      </c>
      <c r="N54" s="46">
        <f t="shared" si="48"/>
        <v>-0.01181209087</v>
      </c>
      <c r="O54" s="2">
        <f>stock!AG39*stock_position!AX39/M54</f>
        <v>0.2447592436</v>
      </c>
    </row>
    <row r="55">
      <c r="A55" s="30">
        <v>46157.0</v>
      </c>
      <c r="B55" s="2">
        <f>stock!AG40*stock_position!AX40+stock!AH40*stock_position!AZ40+stock!AI40*stock_position!BB40+stock!AF40*stock_position!BR40</f>
        <v>74495657.4</v>
      </c>
      <c r="C55" s="2">
        <f>stock!N40*stock_position!Z40+stock!O40*stock_position!AB40+stock!P40*stock_position!AD40+stock!Q40*stock_position!AF40+stock!L40*stock_position!V40+stock!R40*stock_position!AH40+stock!S40*stock_position!AJ40+stock!M40*stock_position!X40+stock!T40*stock_position!AL40</f>
        <v>59689548.14</v>
      </c>
      <c r="D55" s="2">
        <f t="shared" si="44"/>
        <v>53313813.52</v>
      </c>
      <c r="E55" s="2">
        <f>(futures!F40-futures_position!$K$16)*300*25000</f>
        <v>3603750</v>
      </c>
      <c r="F55" s="2">
        <f t="shared" si="45"/>
        <v>83824.6</v>
      </c>
      <c r="G55" s="4">
        <v>4424.0</v>
      </c>
      <c r="H55" s="4">
        <v>88248.6</v>
      </c>
      <c r="I55" s="36">
        <v>181601.78</v>
      </c>
      <c r="K55" s="2">
        <f t="shared" si="46"/>
        <v>175260.8</v>
      </c>
      <c r="L55" s="45">
        <f t="shared" si="47"/>
        <v>143617360</v>
      </c>
      <c r="M55" s="47">
        <v>1.4361736E8</v>
      </c>
      <c r="N55" s="46">
        <f t="shared" si="48"/>
        <v>-0.0367026031</v>
      </c>
      <c r="O55" s="2">
        <f>stock!AG40*stock_position!AX40/M55</f>
        <v>0.2558810266</v>
      </c>
    </row>
    <row r="56">
      <c r="A56" s="33">
        <v>46158.0</v>
      </c>
      <c r="L56" s="23"/>
      <c r="N56" s="37"/>
    </row>
    <row r="57">
      <c r="A57" s="33">
        <v>46159.0</v>
      </c>
      <c r="L57" s="23"/>
      <c r="N57" s="37"/>
    </row>
    <row r="58">
      <c r="A58" s="30">
        <v>46160.0</v>
      </c>
      <c r="B58" s="2">
        <f>stock!AG41*stock_position!AX41+stock!AH41*stock_position!AZ41+stock!AI41*stock_position!BB41+stock!AJ41*stock_position!BD41</f>
        <v>72141606.2</v>
      </c>
      <c r="C58" s="2">
        <f>stock!N41*stock_position!Z41+stock!O41*stock_position!AB41+stock!P41*stock_position!AD41+stock!Q41*stock_position!AF41+stock!U41*stock_position!AN41+stock!R41*stock_position!AH41+stock!S41*stock_position!AJ41+stock!V41*stock_position!AP41+stock!T41*stock_position!AL41</f>
        <v>57694812.54</v>
      </c>
      <c r="D58" s="2">
        <f t="shared" ref="D58:D62" si="49">(B58+C58)-F$241</f>
        <v>48965026.72</v>
      </c>
      <c r="E58" s="2">
        <f>(futures!F41-futures_position!$K$16)*300*25000</f>
        <v>3840000</v>
      </c>
      <c r="F58" s="32">
        <f t="shared" ref="F58:F62" si="50">H58-G58</f>
        <v>93468.18</v>
      </c>
      <c r="G58" s="4">
        <v>4424.0</v>
      </c>
      <c r="H58" s="36">
        <v>97892.18</v>
      </c>
      <c r="I58" s="50">
        <v>202759.31</v>
      </c>
      <c r="K58" s="2">
        <f t="shared" ref="K58:K62" si="51">SUM($J$2:J58)</f>
        <v>175260.8</v>
      </c>
      <c r="L58" s="45">
        <f t="shared" ref="L58:L62" si="52">E$213+B58+C58-(F$213-1828348)+E58-H58-I58+K58</f>
        <v>143728748</v>
      </c>
      <c r="M58" s="49">
        <v>1.43728749E8</v>
      </c>
      <c r="N58" s="46">
        <f t="shared" ref="N58:N62" si="53">L58-M58</f>
        <v>-0.9515219033</v>
      </c>
      <c r="O58" s="2">
        <f>stock!AG41*stock_position!AX41/M58</f>
        <v>0.2812509922</v>
      </c>
    </row>
    <row r="59">
      <c r="A59" s="30">
        <v>46161.0</v>
      </c>
      <c r="B59" s="2">
        <f>stock!AG42*stock_position!AX42+stock!AH42*stock_position!AZ42+stock!AI42*stock_position!BB42+stock!AJ42*stock_position!BD42</f>
        <v>72034108.63</v>
      </c>
      <c r="C59" s="2">
        <f>stock!N42*stock_position!Z42+stock!O42*stock_position!AB42+stock!P42*stock_position!AD42+stock!Q42*stock_position!AF42+stock!U42*stock_position!AN42+stock!R42*stock_position!AH42+stock!S42*stock_position!AJ42+stock!V42*stock_position!AP42+stock!T42*stock_position!AL42</f>
        <v>58005539.81</v>
      </c>
      <c r="D59" s="2">
        <f t="shared" si="49"/>
        <v>49168256.42</v>
      </c>
      <c r="E59" s="2">
        <f>(futures!F42-futures_position!$K$16)*300*25000</f>
        <v>2853750</v>
      </c>
      <c r="F59" s="32">
        <f t="shared" si="50"/>
        <v>93468.18</v>
      </c>
      <c r="G59" s="4">
        <v>4424.0</v>
      </c>
      <c r="H59" s="36">
        <v>97892.18</v>
      </c>
      <c r="I59" s="50">
        <v>202759.31</v>
      </c>
      <c r="K59" s="2">
        <f t="shared" si="51"/>
        <v>175260.8</v>
      </c>
      <c r="L59" s="45">
        <f t="shared" si="52"/>
        <v>142945727.7</v>
      </c>
      <c r="M59" s="53">
        <v>1.42945728E8</v>
      </c>
      <c r="N59" s="46">
        <f t="shared" si="53"/>
        <v>-0.2544075847</v>
      </c>
      <c r="O59" s="2">
        <f>stock!AG42*stock_position!AX42/M59</f>
        <v>0.2924833434</v>
      </c>
    </row>
    <row r="60">
      <c r="A60" s="30">
        <v>46162.0</v>
      </c>
      <c r="B60" s="2">
        <f>stock!AG43*stock_position!AX43+stock!AH43*stock_position!AZ43+stock!AI43*stock_position!BB43+stock!AJ43*stock_position!BD43</f>
        <v>67453160.51</v>
      </c>
      <c r="C60" s="2">
        <f>stock!N43*stock_position!Z43+stock!O43*stock_position!AB43+stock!P43*stock_position!AD43+stock!Q43*stock_position!AF43+stock!U43*stock_position!AN43+stock!R43*stock_position!AH43+stock!S43*stock_position!AJ43+stock!V43*stock_position!AP43+stock!T43*stock_position!AL43</f>
        <v>61066394.32</v>
      </c>
      <c r="D60" s="2">
        <f t="shared" si="49"/>
        <v>47648162.81</v>
      </c>
      <c r="E60" s="2">
        <f>(futures!F43-futures_position!$K$16)*300*25000</f>
        <v>3753750</v>
      </c>
      <c r="F60" s="32">
        <f t="shared" si="50"/>
        <v>93468.18</v>
      </c>
      <c r="G60" s="4">
        <v>4424.0</v>
      </c>
      <c r="H60" s="36">
        <v>97892.18</v>
      </c>
      <c r="I60" s="50">
        <v>202759.31</v>
      </c>
      <c r="K60" s="2">
        <f t="shared" si="51"/>
        <v>175260.8</v>
      </c>
      <c r="L60" s="45">
        <f t="shared" si="52"/>
        <v>142325634.1</v>
      </c>
      <c r="M60" s="47">
        <v>1.42325635E8</v>
      </c>
      <c r="N60" s="46">
        <f t="shared" si="53"/>
        <v>-0.8644707799</v>
      </c>
      <c r="O60" s="2">
        <f>stock!AG43*stock_position!AX43/M60</f>
        <v>0.2648107307</v>
      </c>
    </row>
    <row r="61">
      <c r="A61" s="30">
        <v>46163.0</v>
      </c>
      <c r="B61" s="2">
        <f>stock!AG44*stock_position!AX44+stock!AH44*stock_position!AZ44+stock!AI44*stock_position!BB44+stock!AJ44*stock_position!BD44</f>
        <v>68213144.01</v>
      </c>
      <c r="C61" s="2">
        <f>stock!N44*stock_position!Z44+stock!O44*stock_position!AB44+stock!P44*stock_position!AD44+stock!Q44*stock_position!AF44+stock!U44*stock_position!AN44+stock!R44*stock_position!AH44+stock!S44*stock_position!AJ44+stock!V44*stock_position!AP44+stock!T44*stock_position!AL44</f>
        <v>62593313.35</v>
      </c>
      <c r="D61" s="2">
        <f t="shared" si="49"/>
        <v>49935065.34</v>
      </c>
      <c r="E61" s="2">
        <f>(futures!F44-futures_position!$K$16)*300*25000</f>
        <v>4252500</v>
      </c>
      <c r="F61" s="32">
        <f t="shared" si="50"/>
        <v>93468.18</v>
      </c>
      <c r="G61" s="4">
        <v>4424.0</v>
      </c>
      <c r="H61" s="36">
        <v>97892.18</v>
      </c>
      <c r="I61" s="50">
        <v>202759.31</v>
      </c>
      <c r="K61" s="2">
        <f t="shared" si="51"/>
        <v>175260.8</v>
      </c>
      <c r="L61" s="45">
        <f t="shared" si="52"/>
        <v>145111286.7</v>
      </c>
      <c r="M61" s="47">
        <v>1.45111287E8</v>
      </c>
      <c r="N61" s="46">
        <f t="shared" si="53"/>
        <v>-0.3273617625</v>
      </c>
      <c r="O61" s="2">
        <f>stock!AG44*stock_position!AX44/M61</f>
        <v>0.2534180853</v>
      </c>
    </row>
    <row r="62">
      <c r="A62" s="30">
        <v>46164.0</v>
      </c>
      <c r="B62" s="2">
        <f>stock!AG45*stock_position!AX45+stock!AH45*stock_position!AZ45+stock!AI45*stock_position!BB45+stock!AJ45*stock_position!BD45</f>
        <v>73821671.51</v>
      </c>
      <c r="C62" s="2">
        <f>stock!N45*stock_position!Z45+stock!O45*stock_position!AB45+stock!P45*stock_position!AD45+stock!Q45*stock_position!AF45+stock!U45*stock_position!AN45+stock!R45*stock_position!AH45+stock!S45*stock_position!AJ45+stock!V45*stock_position!AP45+stock!T45*stock_position!AL45</f>
        <v>64865041.45</v>
      </c>
      <c r="D62" s="2">
        <f t="shared" si="49"/>
        <v>57815320.94</v>
      </c>
      <c r="E62" s="2">
        <f>(futures!F45-futures_position!$K$16)*300*25000</f>
        <v>4286250</v>
      </c>
      <c r="F62" s="32">
        <f t="shared" si="50"/>
        <v>93468.18</v>
      </c>
      <c r="G62" s="4">
        <v>4424.0</v>
      </c>
      <c r="H62" s="36">
        <v>97892.18</v>
      </c>
      <c r="I62" s="50">
        <v>202759.31</v>
      </c>
      <c r="K62" s="2">
        <f t="shared" si="51"/>
        <v>175260.8</v>
      </c>
      <c r="L62" s="45">
        <f t="shared" si="52"/>
        <v>153025292.3</v>
      </c>
      <c r="M62" s="47">
        <v>1.53025293E8</v>
      </c>
      <c r="N62" s="46">
        <f t="shared" si="53"/>
        <v>-0.7344532609</v>
      </c>
      <c r="O62" s="2">
        <f>stock!AG45*stock_position!AX45/M62</f>
        <v>0.2650810984</v>
      </c>
    </row>
    <row r="63">
      <c r="A63" s="33">
        <v>46165.0</v>
      </c>
      <c r="H63" s="36"/>
      <c r="L63" s="23"/>
      <c r="N63" s="37"/>
    </row>
    <row r="64">
      <c r="A64" s="33">
        <v>46166.0</v>
      </c>
      <c r="H64" s="36"/>
      <c r="L64" s="23"/>
      <c r="N64" s="37"/>
    </row>
    <row r="65">
      <c r="A65" s="30">
        <v>46167.0</v>
      </c>
      <c r="B65" s="2">
        <f>stock!AG46*stock_position!AX46+stock!AH46*stock_position!AZ46+stock!AI46*stock_position!BB46+stock!AJ46*stock_position!BD46</f>
        <v>80277492</v>
      </c>
      <c r="C65" s="2">
        <f>stock!N46*stock_position!Z46+stock!O46*stock_position!AB46+stock!P46*stock_position!AD46+stock!Q46*stock_position!AF46+stock!U46*stock_position!AN46+stock!R46*stock_position!AH46+stock!S46*stock_position!AJ46+stock!V46*stock_position!AP46+stock!T46*stock_position!AL46</f>
        <v>64865041.45</v>
      </c>
      <c r="D65" s="2">
        <f t="shared" ref="D65:D66" si="54">(B65+C65)-F$241</f>
        <v>64271141.43</v>
      </c>
      <c r="E65" s="2">
        <f>(futures!F46-futures_position!$K$16)*300*25000</f>
        <v>4286250</v>
      </c>
      <c r="F65" s="32">
        <f t="shared" ref="F65:F66" si="55">H65-G65</f>
        <v>93468.18</v>
      </c>
      <c r="G65" s="4">
        <v>4424.0</v>
      </c>
      <c r="H65" s="36">
        <v>97892.18</v>
      </c>
      <c r="I65" s="50">
        <v>202759.31</v>
      </c>
      <c r="K65" s="2">
        <f t="shared" ref="K65:K66" si="56">SUM($J$2:J65)</f>
        <v>175260.8</v>
      </c>
      <c r="L65" s="45">
        <f>E$213+B65+C65-(F$213-1828348)+E65-H65-I65+K65</f>
        <v>159481112.8</v>
      </c>
      <c r="M65" s="49">
        <v>1.594811133E8</v>
      </c>
      <c r="N65" s="46">
        <f t="shared" ref="N65:N66" si="57">L65-M65</f>
        <v>-0.5431696177</v>
      </c>
      <c r="O65" s="2">
        <f>stock!AG46*stock_position!AX46/M65</f>
        <v>0.279305725</v>
      </c>
    </row>
    <row r="66">
      <c r="A66" s="30">
        <v>46168.0</v>
      </c>
      <c r="B66" s="2">
        <f>stock!AG47*stock_position!AX47+stock!AH47*stock_position!AZ47+stock!AI47*stock_position!BB47+stock!AJ47*stock_position!BD47</f>
        <v>81737003.44</v>
      </c>
      <c r="C66" s="2">
        <f>stock!N47*stock_position!Z47+stock!O47*stock_position!AB47+stock!P47*stock_position!AD47+stock!Q47*stock_position!AF47+stock!U47*stock_position!AN47+stock!R47*stock_position!AH47+stock!S47*stock_position!AJ47+stock!V47*stock_position!AP47+stock!T47*stock_position!AL47+stock!W47*stock_position!AR47+stock!X47*stock_position!AT47+stock!Y47*stock_position!AV47</f>
        <v>67314819.89</v>
      </c>
      <c r="D66" s="2">
        <f t="shared" si="54"/>
        <v>68180431.31</v>
      </c>
      <c r="E66" s="2">
        <f>(futures!F47-futures_position!$K$16)*300*25000</f>
        <v>4807500</v>
      </c>
      <c r="F66" s="32">
        <f t="shared" si="55"/>
        <v>100300.03</v>
      </c>
      <c r="G66" s="4">
        <v>4424.0</v>
      </c>
      <c r="H66" s="50">
        <v>104724.03</v>
      </c>
      <c r="I66" s="50">
        <v>202759.31</v>
      </c>
      <c r="K66" s="2">
        <f t="shared" si="56"/>
        <v>175260.8</v>
      </c>
      <c r="L66" s="45">
        <f>E$213+B66+C66-(F$213-1828348-46)+E66-H66-I66+K66</f>
        <v>163904866.8</v>
      </c>
      <c r="M66" s="53">
        <v>1.63904867E8</v>
      </c>
      <c r="N66" s="46">
        <f t="shared" si="57"/>
        <v>-0.2066486776</v>
      </c>
      <c r="O66" s="2">
        <f>stock!AG47*stock_position!AX47/M66</f>
        <v>0.2786579784</v>
      </c>
    </row>
    <row r="67">
      <c r="A67" s="30">
        <v>46169.0</v>
      </c>
      <c r="H67" s="50"/>
      <c r="I67" s="50"/>
      <c r="J67" s="23"/>
    </row>
    <row r="68">
      <c r="A68" s="30">
        <v>46170.0</v>
      </c>
      <c r="H68" s="50"/>
      <c r="I68" s="50"/>
      <c r="J68" s="23"/>
      <c r="L68" s="37"/>
    </row>
    <row r="69">
      <c r="A69" s="30">
        <v>46171.0</v>
      </c>
      <c r="H69" s="50"/>
      <c r="I69" s="50"/>
      <c r="J69" s="23"/>
      <c r="L69" s="37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</row>
    <row r="72">
      <c r="B72" s="20" t="s">
        <v>169</v>
      </c>
    </row>
    <row r="75">
      <c r="B75" s="4">
        <v>1.003600814E8</v>
      </c>
      <c r="C75" s="2">
        <f>K75+D75+E75+H75-N75</f>
        <v>100360081.8</v>
      </c>
      <c r="D75" s="2">
        <f t="shared" ref="D75:E75" si="58">C119</f>
        <v>51641459.06</v>
      </c>
      <c r="E75" s="2">
        <f t="shared" si="58"/>
        <v>40819526.34</v>
      </c>
      <c r="F75" s="4">
        <v>3202500.0</v>
      </c>
      <c r="G75" s="4">
        <v>2775500.0</v>
      </c>
      <c r="H75" s="4">
        <v>3202500.0</v>
      </c>
      <c r="I75" s="4">
        <v>1.0E8</v>
      </c>
      <c r="J75" s="2">
        <f>I75-D159-D163</f>
        <v>5146872</v>
      </c>
      <c r="K75" s="2">
        <f>J75-(F75-G75)</f>
        <v>4719872</v>
      </c>
      <c r="L75" s="2">
        <f>D169</f>
        <v>22938.65</v>
      </c>
      <c r="M75" s="4">
        <v>337.0</v>
      </c>
      <c r="N75" s="2">
        <f t="shared" ref="N75:N79" si="60">M75+L75</f>
        <v>23275.65</v>
      </c>
    </row>
    <row r="76">
      <c r="B76" s="4">
        <v>1.0108610894E8</v>
      </c>
      <c r="C76" s="2">
        <f t="shared" ref="C76:C79" si="61">J76+D76+E76+G76-N76</f>
        <v>101086109.2</v>
      </c>
      <c r="D76" s="2">
        <f t="shared" ref="D76:E76" si="59">C120</f>
        <v>50531585.63</v>
      </c>
      <c r="E76" s="2">
        <f t="shared" si="59"/>
        <v>40888427.2</v>
      </c>
      <c r="F76" s="4">
        <v>3202500.0</v>
      </c>
      <c r="G76" s="2">
        <f t="shared" ref="G76:G79" si="63">E120</f>
        <v>4542500</v>
      </c>
      <c r="H76" s="4">
        <v>3202500.0</v>
      </c>
      <c r="I76" s="4">
        <v>1.0E8</v>
      </c>
      <c r="J76" s="4">
        <v>5146872.0</v>
      </c>
      <c r="K76" s="4">
        <v>4719872.0</v>
      </c>
      <c r="L76" s="2">
        <f t="shared" ref="L76:L79" si="64">L75</f>
        <v>22938.65</v>
      </c>
      <c r="M76" s="4">
        <v>337.0</v>
      </c>
      <c r="N76" s="2">
        <f t="shared" si="60"/>
        <v>23275.65</v>
      </c>
    </row>
    <row r="77">
      <c r="B77" s="36">
        <v>1.0480400876E8</v>
      </c>
      <c r="C77" s="2">
        <f t="shared" si="61"/>
        <v>104804009</v>
      </c>
      <c r="D77" s="2">
        <f t="shared" ref="D77:E77" si="62">C121</f>
        <v>52715788.58</v>
      </c>
      <c r="E77" s="2">
        <f t="shared" si="62"/>
        <v>42907124.06</v>
      </c>
      <c r="F77" s="4">
        <v>3202500.0</v>
      </c>
      <c r="G77" s="2">
        <f t="shared" si="63"/>
        <v>4057500</v>
      </c>
      <c r="H77" s="4">
        <v>3202500.0</v>
      </c>
      <c r="I77" s="4">
        <v>1.0E8</v>
      </c>
      <c r="J77" s="4">
        <v>5146872.0</v>
      </c>
      <c r="K77" s="4">
        <v>4719872.0</v>
      </c>
      <c r="L77" s="2">
        <f t="shared" si="64"/>
        <v>22938.65</v>
      </c>
      <c r="M77" s="4">
        <v>337.0</v>
      </c>
      <c r="N77" s="2">
        <f t="shared" si="60"/>
        <v>23275.65</v>
      </c>
    </row>
    <row r="78">
      <c r="B78" s="36">
        <v>1.033763627E8</v>
      </c>
      <c r="C78" s="2">
        <f t="shared" si="61"/>
        <v>103376362.9</v>
      </c>
      <c r="D78" s="2">
        <f t="shared" ref="D78:E78" si="65">C122</f>
        <v>54391057.08</v>
      </c>
      <c r="E78" s="2">
        <f t="shared" si="65"/>
        <v>40751209.5</v>
      </c>
      <c r="F78" s="4">
        <v>3202500.0</v>
      </c>
      <c r="G78" s="2">
        <f t="shared" si="63"/>
        <v>3110500</v>
      </c>
      <c r="H78" s="4">
        <v>3202500.0</v>
      </c>
      <c r="I78" s="4">
        <v>1.0E8</v>
      </c>
      <c r="J78" s="4">
        <v>5146872.0</v>
      </c>
      <c r="K78" s="4">
        <f>K75-(H78-G78)</f>
        <v>4627872</v>
      </c>
      <c r="L78" s="2">
        <f t="shared" si="64"/>
        <v>22938.65</v>
      </c>
      <c r="M78" s="4">
        <v>337.0</v>
      </c>
      <c r="N78" s="2">
        <f t="shared" si="60"/>
        <v>23275.65</v>
      </c>
    </row>
    <row r="79">
      <c r="B79" s="54">
        <v>1.01958088E8</v>
      </c>
      <c r="C79" s="55">
        <f t="shared" si="61"/>
        <v>101958088.6</v>
      </c>
      <c r="D79" s="2">
        <f t="shared" ref="D79:E79" si="66">C123</f>
        <v>53040318.88</v>
      </c>
      <c r="E79" s="2">
        <f t="shared" si="66"/>
        <v>40005673.35</v>
      </c>
      <c r="F79" s="4">
        <v>3202500.0</v>
      </c>
      <c r="G79" s="2">
        <f t="shared" si="63"/>
        <v>3788500</v>
      </c>
      <c r="H79" s="4">
        <v>3202500.0</v>
      </c>
      <c r="I79" s="4">
        <v>1.0E8</v>
      </c>
      <c r="J79" s="4">
        <v>5146872.0</v>
      </c>
      <c r="K79" s="4">
        <v>4627872.0</v>
      </c>
      <c r="L79" s="2">
        <f t="shared" si="64"/>
        <v>22938.65</v>
      </c>
      <c r="M79" s="4">
        <v>337.0</v>
      </c>
      <c r="N79" s="2">
        <f t="shared" si="60"/>
        <v>23275.65</v>
      </c>
    </row>
    <row r="80">
      <c r="D80" s="2" t="str">
        <f t="shared" ref="D80:E80" si="67">C124</f>
        <v/>
      </c>
      <c r="E80" s="2" t="str">
        <f t="shared" si="67"/>
        <v/>
      </c>
      <c r="P80" s="11">
        <f>P82</f>
        <v>131448.6078</v>
      </c>
    </row>
    <row r="81">
      <c r="D81" s="2" t="str">
        <f t="shared" ref="D81:E81" si="68">C125</f>
        <v/>
      </c>
      <c r="E81" s="2" t="str">
        <f t="shared" si="68"/>
        <v/>
      </c>
    </row>
    <row r="82">
      <c r="B82" s="56">
        <v>1.00158634E8</v>
      </c>
      <c r="C82" s="57">
        <f t="shared" ref="C82:C85" si="70">J82+D82+E82+G82-N82-O82+P82</f>
        <v>100158634</v>
      </c>
      <c r="D82" s="2">
        <f t="shared" ref="D82:E82" si="69">C126</f>
        <v>50785177.02</v>
      </c>
      <c r="E82" s="2">
        <f t="shared" si="69"/>
        <v>39051000.37</v>
      </c>
      <c r="F82" s="4">
        <v>3202500.0</v>
      </c>
      <c r="G82" s="2">
        <f t="shared" ref="G82:G86" si="72">E126</f>
        <v>5105500</v>
      </c>
      <c r="H82" s="4">
        <v>3202500.0</v>
      </c>
      <c r="I82" s="4">
        <v>1.0E8</v>
      </c>
      <c r="J82" s="4">
        <v>5146872.0</v>
      </c>
      <c r="K82" s="4">
        <v>4627872.0</v>
      </c>
      <c r="L82" s="2">
        <f>N82-M82</f>
        <v>32312.35</v>
      </c>
      <c r="M82" s="4">
        <v>337.0</v>
      </c>
      <c r="N82" s="4">
        <v>32649.35</v>
      </c>
      <c r="O82" s="4">
        <v>28714.68</v>
      </c>
      <c r="P82" s="4">
        <f>F199-E198</f>
        <v>131448.6078</v>
      </c>
    </row>
    <row r="83">
      <c r="B83" s="4">
        <v>9.9056441E7</v>
      </c>
      <c r="C83" s="57">
        <f t="shared" si="70"/>
        <v>99056440.89</v>
      </c>
      <c r="D83" s="2">
        <f t="shared" ref="D83:E83" si="71">C127</f>
        <v>48197083.74</v>
      </c>
      <c r="E83" s="2">
        <f t="shared" si="71"/>
        <v>39283900.57</v>
      </c>
      <c r="F83" s="4">
        <v>3202500.0</v>
      </c>
      <c r="G83" s="2">
        <f t="shared" si="72"/>
        <v>6358500</v>
      </c>
      <c r="H83" s="4">
        <v>3202500.0</v>
      </c>
      <c r="I83" s="4">
        <v>1.0E8</v>
      </c>
      <c r="J83" s="4">
        <v>5146872.0</v>
      </c>
      <c r="K83" s="4">
        <v>4627872.0</v>
      </c>
      <c r="L83" s="2">
        <f t="shared" ref="L83:L85" si="74">L82</f>
        <v>32312.35</v>
      </c>
      <c r="M83" s="4">
        <v>337.0</v>
      </c>
      <c r="N83" s="4">
        <v>32649.35</v>
      </c>
      <c r="O83" s="4">
        <v>28714.68</v>
      </c>
      <c r="P83" s="4">
        <f>F199-E198</f>
        <v>131448.6078</v>
      </c>
    </row>
    <row r="84">
      <c r="B84" s="4">
        <v>1.00438612E8</v>
      </c>
      <c r="C84" s="57">
        <f t="shared" si="70"/>
        <v>100438612.3</v>
      </c>
      <c r="D84" s="2">
        <f t="shared" ref="D84:E84" si="73">C128</f>
        <v>51281022.45</v>
      </c>
      <c r="E84" s="2">
        <f t="shared" si="73"/>
        <v>39087133.27</v>
      </c>
      <c r="F84" s="4">
        <v>3202500.0</v>
      </c>
      <c r="G84" s="2">
        <f t="shared" si="72"/>
        <v>4853500</v>
      </c>
      <c r="H84" s="4">
        <v>3202500.0</v>
      </c>
      <c r="I84" s="4">
        <v>1.0E8</v>
      </c>
      <c r="J84" s="4">
        <v>5146872.0</v>
      </c>
      <c r="K84" s="4">
        <v>4627872.0</v>
      </c>
      <c r="L84" s="2">
        <f t="shared" si="74"/>
        <v>32312.35</v>
      </c>
      <c r="M84" s="4">
        <v>337.0</v>
      </c>
      <c r="N84" s="4">
        <v>32649.35</v>
      </c>
      <c r="O84" s="4">
        <v>28714.68</v>
      </c>
      <c r="P84" s="4">
        <f>F199-E198</f>
        <v>131448.6078</v>
      </c>
    </row>
    <row r="85">
      <c r="B85" s="54">
        <v>1.01576999E8</v>
      </c>
      <c r="C85" s="58">
        <f t="shared" si="70"/>
        <v>101576998.9</v>
      </c>
      <c r="D85" s="2">
        <f t="shared" ref="D85:E85" si="75">C129</f>
        <v>50711210.13</v>
      </c>
      <c r="E85" s="2">
        <f t="shared" si="75"/>
        <v>39919332.21</v>
      </c>
      <c r="F85" s="4">
        <v>3202500.0</v>
      </c>
      <c r="G85" s="2">
        <f t="shared" si="72"/>
        <v>5729500</v>
      </c>
      <c r="H85" s="4">
        <v>3202500.0</v>
      </c>
      <c r="I85" s="4">
        <v>1.0E8</v>
      </c>
      <c r="J85" s="4">
        <v>5146872.0</v>
      </c>
      <c r="K85" s="4">
        <v>4627872.0</v>
      </c>
      <c r="L85" s="2">
        <f t="shared" si="74"/>
        <v>32312.35</v>
      </c>
      <c r="M85" s="4">
        <v>337.0</v>
      </c>
      <c r="N85" s="4">
        <v>32649.35</v>
      </c>
      <c r="O85" s="4">
        <v>28714.68</v>
      </c>
      <c r="P85" s="4">
        <f>F199-E198</f>
        <v>131448.6078</v>
      </c>
    </row>
    <row r="86">
      <c r="A86" s="23"/>
      <c r="C86" s="57"/>
      <c r="D86" s="2" t="str">
        <f t="shared" ref="D86:E86" si="76">C130</f>
        <v/>
      </c>
      <c r="E86" s="2" t="str">
        <f t="shared" si="76"/>
        <v/>
      </c>
      <c r="G86" s="2" t="str">
        <f t="shared" si="72"/>
        <v/>
      </c>
    </row>
    <row r="87">
      <c r="C87" s="57"/>
      <c r="D87" s="2" t="str">
        <f t="shared" ref="D87:E87" si="77">C131</f>
        <v/>
      </c>
      <c r="E87" s="2" t="str">
        <f t="shared" si="77"/>
        <v/>
      </c>
    </row>
    <row r="88">
      <c r="C88" s="57"/>
      <c r="D88" s="2" t="str">
        <f t="shared" ref="D88:E88" si="78">C132</f>
        <v/>
      </c>
      <c r="E88" s="2" t="str">
        <f t="shared" si="78"/>
        <v/>
      </c>
      <c r="G88" s="2" t="str">
        <f t="shared" ref="G88:G94" si="80">E132</f>
        <v/>
      </c>
    </row>
    <row r="89">
      <c r="B89" s="47">
        <v>1.01069408E8</v>
      </c>
      <c r="C89" s="57">
        <f t="shared" ref="C89:C93" si="81">J89+D89+E89+G89-N89-O89+P89</f>
        <v>101069407.8</v>
      </c>
      <c r="D89" s="2">
        <f t="shared" ref="D89:E89" si="79">C133</f>
        <v>50711210.13</v>
      </c>
      <c r="E89" s="2">
        <f t="shared" si="79"/>
        <v>39618741.07</v>
      </c>
      <c r="F89" s="4">
        <v>3202500.0</v>
      </c>
      <c r="G89" s="2">
        <f t="shared" si="80"/>
        <v>5522500</v>
      </c>
      <c r="H89" s="4">
        <v>3202500.0</v>
      </c>
      <c r="I89" s="4">
        <v>1.0E8</v>
      </c>
      <c r="J89" s="4">
        <v>5146872.0</v>
      </c>
      <c r="K89" s="4">
        <v>4627872.0</v>
      </c>
      <c r="L89" s="2">
        <f t="shared" ref="L89:L93" si="83">N89-M89</f>
        <v>32312.35</v>
      </c>
      <c r="M89" s="4">
        <v>337.0</v>
      </c>
      <c r="N89" s="4">
        <v>32649.35</v>
      </c>
      <c r="O89" s="4">
        <v>28714.68</v>
      </c>
      <c r="P89" s="4">
        <v>131448.6078</v>
      </c>
    </row>
    <row r="90">
      <c r="B90" s="47">
        <v>1.01943587E8</v>
      </c>
      <c r="C90" s="57">
        <f t="shared" si="81"/>
        <v>101943586.7</v>
      </c>
      <c r="D90" s="2">
        <f t="shared" ref="D90:E90" si="82">C134</f>
        <v>50320633.8</v>
      </c>
      <c r="E90" s="2">
        <f t="shared" si="82"/>
        <v>39344496.35</v>
      </c>
      <c r="F90" s="4">
        <v>3202500.0</v>
      </c>
      <c r="G90" s="2">
        <f t="shared" si="80"/>
        <v>7061500</v>
      </c>
      <c r="H90" s="4">
        <v>3202500.0</v>
      </c>
      <c r="I90" s="4">
        <v>1.0E8</v>
      </c>
      <c r="J90" s="4">
        <v>5146872.0</v>
      </c>
      <c r="K90" s="4">
        <v>4627872.0</v>
      </c>
      <c r="L90" s="2">
        <f t="shared" si="83"/>
        <v>32312.35</v>
      </c>
      <c r="M90" s="4">
        <v>337.0</v>
      </c>
      <c r="N90" s="4">
        <v>32649.35</v>
      </c>
      <c r="O90" s="4">
        <v>28714.68</v>
      </c>
      <c r="P90" s="4">
        <v>131448.6078</v>
      </c>
    </row>
    <row r="91">
      <c r="B91" s="47">
        <v>1.0392183E8</v>
      </c>
      <c r="C91" s="57">
        <f t="shared" si="81"/>
        <v>103921829.9</v>
      </c>
      <c r="D91" s="2">
        <f t="shared" ref="D91:E91" si="84">C135</f>
        <v>52947204.87</v>
      </c>
      <c r="E91" s="2">
        <f t="shared" si="84"/>
        <v>39658168.49</v>
      </c>
      <c r="F91" s="4">
        <v>3202500.0</v>
      </c>
      <c r="G91" s="2">
        <f t="shared" si="80"/>
        <v>6099500</v>
      </c>
      <c r="H91" s="4">
        <v>3202500.0</v>
      </c>
      <c r="I91" s="4">
        <v>1.0E8</v>
      </c>
      <c r="J91" s="4">
        <v>5146872.0</v>
      </c>
      <c r="K91" s="4">
        <v>4627872.0</v>
      </c>
      <c r="L91" s="2">
        <f t="shared" si="83"/>
        <v>32312.35</v>
      </c>
      <c r="M91" s="4">
        <v>337.0</v>
      </c>
      <c r="N91" s="4">
        <v>32649.35</v>
      </c>
      <c r="O91" s="4">
        <v>28714.68</v>
      </c>
      <c r="P91" s="4">
        <v>131448.6078</v>
      </c>
    </row>
    <row r="92">
      <c r="B92" s="47">
        <v>1.06223912E8</v>
      </c>
      <c r="C92" s="57">
        <f t="shared" si="81"/>
        <v>106223911.5</v>
      </c>
      <c r="D92" s="2">
        <f t="shared" ref="D92:E92" si="85">C136</f>
        <v>55194649.8</v>
      </c>
      <c r="E92" s="2">
        <f t="shared" si="85"/>
        <v>39338805.08</v>
      </c>
      <c r="F92" s="4">
        <v>3202500.0</v>
      </c>
      <c r="G92" s="2">
        <f t="shared" si="80"/>
        <v>6473500</v>
      </c>
      <c r="H92" s="4">
        <v>3202500.0</v>
      </c>
      <c r="I92" s="4">
        <v>1.0E8</v>
      </c>
      <c r="J92" s="4">
        <v>5146872.0</v>
      </c>
      <c r="K92" s="4">
        <v>4627872.0</v>
      </c>
      <c r="L92" s="2">
        <f t="shared" si="83"/>
        <v>32312.35</v>
      </c>
      <c r="M92" s="4">
        <v>337.0</v>
      </c>
      <c r="N92" s="4">
        <v>32649.35</v>
      </c>
      <c r="O92" s="4">
        <v>28714.68</v>
      </c>
      <c r="P92" s="4">
        <v>131448.6078</v>
      </c>
    </row>
    <row r="93">
      <c r="B93" s="59">
        <v>1.0736692E8</v>
      </c>
      <c r="C93" s="58">
        <f t="shared" si="81"/>
        <v>107366919.9</v>
      </c>
      <c r="D93" s="2">
        <f t="shared" ref="D93:E93" si="86">C137</f>
        <v>55722561.9</v>
      </c>
      <c r="E93" s="2">
        <f t="shared" si="86"/>
        <v>40014901.45</v>
      </c>
      <c r="F93" s="4">
        <v>3202500.0</v>
      </c>
      <c r="G93" s="2">
        <f t="shared" si="80"/>
        <v>6412500</v>
      </c>
      <c r="H93" s="4">
        <v>3202500.0</v>
      </c>
      <c r="I93" s="4">
        <v>1.0E8</v>
      </c>
      <c r="J93" s="4">
        <v>5146872.0</v>
      </c>
      <c r="K93" s="4">
        <v>4627872.0</v>
      </c>
      <c r="L93" s="2">
        <f t="shared" si="83"/>
        <v>32312.35</v>
      </c>
      <c r="M93" s="4">
        <v>337.0</v>
      </c>
      <c r="N93" s="4">
        <v>32649.35</v>
      </c>
      <c r="O93" s="4">
        <v>28714.68</v>
      </c>
      <c r="P93" s="4">
        <v>131448.6078</v>
      </c>
    </row>
    <row r="94">
      <c r="C94" s="57"/>
      <c r="D94" s="2" t="str">
        <f t="shared" ref="D94:E94" si="87">C138</f>
        <v/>
      </c>
      <c r="E94" s="2" t="str">
        <f t="shared" si="87"/>
        <v/>
      </c>
      <c r="G94" s="2" t="str">
        <f t="shared" si="80"/>
        <v/>
      </c>
      <c r="I94" s="11"/>
    </row>
    <row r="95">
      <c r="C95" s="57"/>
      <c r="D95" s="2" t="str">
        <f t="shared" ref="D95:D105" si="88">C139</f>
        <v/>
      </c>
      <c r="G95" s="20">
        <v>5742500.0</v>
      </c>
      <c r="I95" s="11">
        <f>I94+G95</f>
        <v>5742500</v>
      </c>
      <c r="P95" s="11">
        <f>P96-P93</f>
        <v>-1699959.608</v>
      </c>
    </row>
    <row r="96">
      <c r="B96" s="47">
        <v>1.11185322E8</v>
      </c>
      <c r="C96" s="57">
        <f t="shared" ref="C96:C100" si="89">J96+D96+E96+G96-N96-O96+P96</f>
        <v>111185321.8</v>
      </c>
      <c r="D96" s="2">
        <f t="shared" si="88"/>
        <v>58406274.08</v>
      </c>
      <c r="E96" s="2">
        <f t="shared" ref="E96:E100" si="90">D140</f>
        <v>40377092.15</v>
      </c>
      <c r="F96" s="4">
        <v>3600000.0</v>
      </c>
      <c r="G96" s="2">
        <f t="shared" ref="G96:G107" si="91">E140</f>
        <v>5133750</v>
      </c>
      <c r="H96" s="4">
        <v>3600000.0</v>
      </c>
      <c r="I96" s="4">
        <v>1.0E8</v>
      </c>
      <c r="J96" s="4">
        <v>8939326.0</v>
      </c>
      <c r="K96" s="4">
        <v>4627872.0</v>
      </c>
      <c r="L96" s="32">
        <f t="shared" ref="L96:L100" si="92">N96-M96</f>
        <v>40613.31</v>
      </c>
      <c r="M96" s="4">
        <v>4424.0</v>
      </c>
      <c r="N96" s="49">
        <v>45037.31</v>
      </c>
      <c r="O96" s="36">
        <v>57572.09</v>
      </c>
      <c r="P96" s="4">
        <f t="shared" ref="P96:P100" si="93"> 2223943-3792454</f>
        <v>-1568511</v>
      </c>
    </row>
    <row r="97">
      <c r="B97" s="47">
        <v>1.0968836E8</v>
      </c>
      <c r="C97" s="57">
        <f t="shared" si="89"/>
        <v>109688359.9</v>
      </c>
      <c r="D97" s="2">
        <f t="shared" si="88"/>
        <v>56114088.72</v>
      </c>
      <c r="E97" s="2">
        <f t="shared" si="90"/>
        <v>40561065.55</v>
      </c>
      <c r="F97" s="4">
        <v>3600000.0</v>
      </c>
      <c r="G97" s="2">
        <f t="shared" si="91"/>
        <v>5745000</v>
      </c>
      <c r="H97" s="4">
        <v>3600000.0</v>
      </c>
      <c r="I97" s="4">
        <v>1.0E8</v>
      </c>
      <c r="J97" s="4">
        <v>8939326.0</v>
      </c>
      <c r="K97" s="4">
        <v>4627872.0</v>
      </c>
      <c r="L97" s="32">
        <f t="shared" si="92"/>
        <v>40613.31</v>
      </c>
      <c r="M97" s="4">
        <v>4424.0</v>
      </c>
      <c r="N97" s="49">
        <v>45037.31</v>
      </c>
      <c r="O97" s="36">
        <v>57572.09</v>
      </c>
      <c r="P97" s="4">
        <f t="shared" si="93"/>
        <v>-1568511</v>
      </c>
    </row>
    <row r="98">
      <c r="B98" s="47">
        <v>1.11880981E8</v>
      </c>
      <c r="C98" s="57">
        <f t="shared" si="89"/>
        <v>111880981.1</v>
      </c>
      <c r="D98" s="2">
        <f t="shared" si="88"/>
        <v>58240568.85</v>
      </c>
      <c r="E98" s="2">
        <f t="shared" si="90"/>
        <v>40454706.65</v>
      </c>
      <c r="F98" s="4">
        <v>3600000.0</v>
      </c>
      <c r="G98" s="2">
        <f t="shared" si="91"/>
        <v>5917500</v>
      </c>
      <c r="H98" s="4">
        <v>3600000.0</v>
      </c>
      <c r="I98" s="4">
        <v>1.0E8</v>
      </c>
      <c r="J98" s="4">
        <v>8939326.0</v>
      </c>
      <c r="K98" s="4">
        <v>4627872.0</v>
      </c>
      <c r="L98" s="32">
        <f t="shared" si="92"/>
        <v>40613.31</v>
      </c>
      <c r="M98" s="4">
        <v>4424.0</v>
      </c>
      <c r="N98" s="49">
        <v>45037.31</v>
      </c>
      <c r="O98" s="36">
        <v>57572.09</v>
      </c>
      <c r="P98" s="4">
        <f t="shared" si="93"/>
        <v>-1568511</v>
      </c>
    </row>
    <row r="99">
      <c r="B99" s="47">
        <v>1.13379561E8</v>
      </c>
      <c r="C99" s="57">
        <f t="shared" si="89"/>
        <v>113379561.2</v>
      </c>
      <c r="D99" s="2">
        <f t="shared" si="88"/>
        <v>58665675.67</v>
      </c>
      <c r="E99" s="2">
        <f t="shared" si="90"/>
        <v>42154429.91</v>
      </c>
      <c r="F99" s="4">
        <v>3600000.0</v>
      </c>
      <c r="G99" s="2">
        <f t="shared" si="91"/>
        <v>5291250</v>
      </c>
      <c r="H99" s="4">
        <v>3600000.0</v>
      </c>
      <c r="I99" s="4">
        <v>1.0E8</v>
      </c>
      <c r="J99" s="4">
        <v>8939326.0</v>
      </c>
      <c r="K99" s="4">
        <v>4627872.0</v>
      </c>
      <c r="L99" s="32">
        <f t="shared" si="92"/>
        <v>40613.31</v>
      </c>
      <c r="M99" s="4">
        <v>4424.0</v>
      </c>
      <c r="N99" s="49">
        <v>45037.31</v>
      </c>
      <c r="O99" s="36">
        <v>57572.09</v>
      </c>
      <c r="P99" s="4">
        <f t="shared" si="93"/>
        <v>-1568511</v>
      </c>
    </row>
    <row r="100">
      <c r="B100" s="59">
        <v>1.14535682E8</v>
      </c>
      <c r="C100" s="58">
        <f t="shared" si="89"/>
        <v>114535682</v>
      </c>
      <c r="D100" s="2">
        <f t="shared" si="88"/>
        <v>59905900.02</v>
      </c>
      <c r="E100" s="2">
        <f t="shared" si="90"/>
        <v>41717826.42</v>
      </c>
      <c r="F100" s="4">
        <v>3600000.0</v>
      </c>
      <c r="G100" s="2">
        <f t="shared" si="91"/>
        <v>5643750</v>
      </c>
      <c r="H100" s="4">
        <v>3600000.0</v>
      </c>
      <c r="I100" s="4">
        <v>1.0E8</v>
      </c>
      <c r="J100" s="4">
        <v>8939326.0</v>
      </c>
      <c r="K100" s="4">
        <v>4627872.0</v>
      </c>
      <c r="L100" s="32">
        <f t="shared" si="92"/>
        <v>40613.31</v>
      </c>
      <c r="M100" s="4">
        <v>4424.0</v>
      </c>
      <c r="N100" s="49">
        <v>45037.31</v>
      </c>
      <c r="O100" s="36">
        <v>57572.09</v>
      </c>
      <c r="P100" s="4">
        <f t="shared" si="93"/>
        <v>-1568511</v>
      </c>
    </row>
    <row r="101">
      <c r="C101" s="58"/>
      <c r="D101" s="2" t="str">
        <f t="shared" si="88"/>
        <v/>
      </c>
      <c r="G101" s="2" t="str">
        <f t="shared" si="91"/>
        <v/>
      </c>
      <c r="N101" s="49"/>
    </row>
    <row r="102">
      <c r="C102" s="58"/>
      <c r="D102" s="2" t="str">
        <f t="shared" si="88"/>
        <v/>
      </c>
      <c r="E102" s="2" t="str">
        <f t="shared" ref="E102:E106" si="94">D146</f>
        <v/>
      </c>
      <c r="G102" s="2" t="str">
        <f t="shared" si="91"/>
        <v/>
      </c>
      <c r="N102" s="49"/>
      <c r="P102" s="60">
        <f>P103-P100</f>
        <v>38175</v>
      </c>
    </row>
    <row r="103">
      <c r="B103" s="4">
        <v>1.1639582843E8</v>
      </c>
      <c r="C103" s="58">
        <f t="shared" ref="C103:C106" si="95">J103+D103+E103+G103-N103-O103+P103</f>
        <v>116395828.5</v>
      </c>
      <c r="D103" s="2">
        <f t="shared" si="88"/>
        <v>62124632.59</v>
      </c>
      <c r="E103" s="2">
        <f t="shared" si="94"/>
        <v>41641396.38</v>
      </c>
      <c r="F103" s="4">
        <v>3600000.0</v>
      </c>
      <c r="G103" s="2">
        <f t="shared" si="91"/>
        <v>5362500</v>
      </c>
      <c r="H103" s="4">
        <v>3600000.0</v>
      </c>
      <c r="I103" s="4">
        <v>1.0E8</v>
      </c>
      <c r="J103" s="4">
        <v>8939326.0</v>
      </c>
      <c r="K103" s="4">
        <v>4627872.0</v>
      </c>
      <c r="L103" s="32">
        <f t="shared" ref="L103:L107" si="96">N103-M103</f>
        <v>52221.79</v>
      </c>
      <c r="M103" s="4">
        <v>4424.0</v>
      </c>
      <c r="N103" s="50">
        <v>56645.79</v>
      </c>
      <c r="O103" s="36">
        <v>85044.73</v>
      </c>
      <c r="P103" s="47">
        <f t="shared" ref="P103:P107" si="97">2262118-3792454</f>
        <v>-1530336</v>
      </c>
    </row>
    <row r="104">
      <c r="B104" s="36">
        <v>1.1659366093E8</v>
      </c>
      <c r="C104" s="58">
        <f t="shared" si="95"/>
        <v>116593660.9</v>
      </c>
      <c r="D104" s="2">
        <f t="shared" si="88"/>
        <v>62043123.2</v>
      </c>
      <c r="E104" s="2">
        <f t="shared" si="94"/>
        <v>41819488.26</v>
      </c>
      <c r="F104" s="4">
        <v>3600000.0</v>
      </c>
      <c r="G104" s="2">
        <f t="shared" si="91"/>
        <v>5463750</v>
      </c>
      <c r="H104" s="4">
        <v>3600000.0</v>
      </c>
      <c r="I104" s="4">
        <v>1.0E8</v>
      </c>
      <c r="J104" s="4">
        <v>8939326.0</v>
      </c>
      <c r="K104" s="4">
        <v>4627872.0</v>
      </c>
      <c r="L104" s="32">
        <f t="shared" si="96"/>
        <v>52221.79</v>
      </c>
      <c r="M104" s="4">
        <v>4424.0</v>
      </c>
      <c r="N104" s="50">
        <v>56645.79</v>
      </c>
      <c r="O104" s="36">
        <v>85044.73</v>
      </c>
      <c r="P104" s="47">
        <f t="shared" si="97"/>
        <v>-1530336</v>
      </c>
    </row>
    <row r="105">
      <c r="B105" s="36">
        <v>1.1793650657E8</v>
      </c>
      <c r="C105" s="58">
        <f t="shared" si="95"/>
        <v>117936506.6</v>
      </c>
      <c r="D105" s="2">
        <f t="shared" si="88"/>
        <v>61653787.13</v>
      </c>
      <c r="E105" s="2">
        <f t="shared" si="94"/>
        <v>43472919.99</v>
      </c>
      <c r="F105" s="4">
        <v>3600000.0</v>
      </c>
      <c r="G105" s="2">
        <f t="shared" si="91"/>
        <v>5542500</v>
      </c>
      <c r="H105" s="4">
        <v>3600000.0</v>
      </c>
      <c r="I105" s="4">
        <v>1.0E8</v>
      </c>
      <c r="J105" s="4">
        <v>8939326.0</v>
      </c>
      <c r="K105" s="4">
        <v>4627872.0</v>
      </c>
      <c r="L105" s="32">
        <f t="shared" si="96"/>
        <v>52221.79</v>
      </c>
      <c r="M105" s="4">
        <v>4424.0</v>
      </c>
      <c r="N105" s="50">
        <v>56645.79</v>
      </c>
      <c r="O105" s="36">
        <v>85044.73</v>
      </c>
      <c r="P105" s="47">
        <f t="shared" si="97"/>
        <v>-1530336</v>
      </c>
    </row>
    <row r="106">
      <c r="C106" s="58">
        <f t="shared" si="95"/>
        <v>54850441.59</v>
      </c>
      <c r="E106" s="2">
        <f t="shared" si="94"/>
        <v>42494392.11</v>
      </c>
      <c r="F106" s="4">
        <v>3600000.0</v>
      </c>
      <c r="G106" s="2">
        <f t="shared" si="91"/>
        <v>5088750</v>
      </c>
      <c r="H106" s="4">
        <v>3600000.0</v>
      </c>
      <c r="I106" s="4">
        <v>1.0E8</v>
      </c>
      <c r="J106" s="4">
        <v>8939326.0</v>
      </c>
      <c r="K106" s="4">
        <v>4627872.0</v>
      </c>
      <c r="L106" s="32">
        <f t="shared" si="96"/>
        <v>52221.79</v>
      </c>
      <c r="M106" s="4">
        <v>4424.0</v>
      </c>
      <c r="N106" s="50">
        <v>56645.79</v>
      </c>
      <c r="O106" s="36">
        <v>85044.73</v>
      </c>
      <c r="P106" s="47">
        <f t="shared" si="97"/>
        <v>-1530336</v>
      </c>
    </row>
    <row r="107">
      <c r="D107" s="2">
        <f t="shared" ref="D107:E107" si="98">C151</f>
        <v>60490612.03</v>
      </c>
      <c r="E107" s="2">
        <f t="shared" si="98"/>
        <v>43206837.92</v>
      </c>
      <c r="F107" s="4">
        <v>3600000.0</v>
      </c>
      <c r="G107" s="2">
        <f t="shared" si="91"/>
        <v>5246250</v>
      </c>
      <c r="H107" s="4">
        <v>3600000.0</v>
      </c>
      <c r="I107" s="4">
        <v>1.0E8</v>
      </c>
      <c r="J107" s="4">
        <v>8939326.0</v>
      </c>
      <c r="K107" s="4">
        <v>4627872.0</v>
      </c>
      <c r="L107" s="32">
        <f t="shared" si="96"/>
        <v>52221.79</v>
      </c>
      <c r="M107" s="4">
        <v>4424.0</v>
      </c>
      <c r="N107" s="50">
        <v>56645.79</v>
      </c>
      <c r="O107" s="36">
        <v>85044.73</v>
      </c>
      <c r="P107" s="47">
        <f t="shared" si="97"/>
        <v>-1530336</v>
      </c>
    </row>
    <row r="118">
      <c r="B118" s="61"/>
      <c r="C118" s="4" t="s">
        <v>170</v>
      </c>
      <c r="D118" s="4" t="s">
        <v>171</v>
      </c>
      <c r="E118" s="4" t="s">
        <v>172</v>
      </c>
      <c r="F118" s="4" t="s">
        <v>173</v>
      </c>
      <c r="G118" s="20" t="s">
        <v>174</v>
      </c>
      <c r="H118" s="4" t="s">
        <v>175</v>
      </c>
      <c r="I118" s="4" t="s">
        <v>176</v>
      </c>
    </row>
    <row r="119">
      <c r="B119" s="61">
        <v>46104.0</v>
      </c>
      <c r="C119" s="2">
        <f>stock!Z2*stock_position!BF2+stock!AF2*stock_position!BR2+stock!AG2*stock_position!AX3+stock!AB2*stock_position!BJ3+stock!AH2*stock_position!AZ3</f>
        <v>51641459.06</v>
      </c>
      <c r="D119" s="2">
        <f> stock!B2*stock_position!B2+stock!C2*stock_position!D2+stock!D2*stock_position!F2+stock!E2*stock_position!H2+stock!F2*stock_position!J2+stock!N2*stock_position!Z2</f>
        <v>40819526.34</v>
      </c>
      <c r="E119" s="4">
        <f>(futures!E2-futures_position!$I$2)*100*100+3202500</f>
        <v>2775500</v>
      </c>
      <c r="F119" s="4">
        <f>10000000-3202500</f>
        <v>6797500</v>
      </c>
      <c r="G119" s="20">
        <f t="shared" ref="G119:G123" si="99">C119+D119+E119+F119</f>
        <v>102033985.4</v>
      </c>
      <c r="H119" s="4" t="s">
        <v>177</v>
      </c>
      <c r="I119" s="4" t="str">
        <f t="shared" ref="I119:I123" si="100">IF(E119 &gt; 3202500, "符合","不符合")</f>
        <v>不符合</v>
      </c>
    </row>
    <row r="120">
      <c r="B120" s="61">
        <v>46105.0</v>
      </c>
      <c r="C120" s="2">
        <f>stock!Z3*stock_position!BF3+stock!AF3*stock_position!BR3+stock!AG3*stock_position!AX4+stock!AB3*stock_position!BJ4+stock!AH3*stock_position!AZ4</f>
        <v>50531585.63</v>
      </c>
      <c r="D120" s="2">
        <f> stock!B3*stock_position!B3+stock!C3*stock_position!D3+stock!D3*stock_position!F3+stock!E3*stock_position!H3+stock!F3*stock_position!J3+stock!N3*stock_position!Z3</f>
        <v>40888427.2</v>
      </c>
      <c r="E120" s="4">
        <f>(futures!E3-futures_position!$I$2)*100*100+3202500</f>
        <v>4542500</v>
      </c>
      <c r="F120" s="4">
        <f>F119-427000</f>
        <v>6370500</v>
      </c>
      <c r="G120" s="20">
        <f t="shared" si="99"/>
        <v>102333012.8</v>
      </c>
      <c r="I120" s="4" t="str">
        <f t="shared" si="100"/>
        <v>符合</v>
      </c>
    </row>
    <row r="121">
      <c r="B121" s="61">
        <v>46106.0</v>
      </c>
      <c r="C121" s="2">
        <f>stock!Z4*stock_position!BF4+stock!AF4*stock_position!BR4+stock!AG4*stock_position!AX5+stock!AB4*stock_position!BJ5+stock!AH4*stock_position!AZ5</f>
        <v>52715788.58</v>
      </c>
      <c r="D121" s="2">
        <f> stock!B4*stock_position!B4+stock!C4*stock_position!D4+stock!D4*stock_position!F4+stock!E4*stock_position!H4+stock!F4*stock_position!J4+stock!N4*stock_position!Z4</f>
        <v>42907124.06</v>
      </c>
      <c r="E121" s="4">
        <f>(futures!E4-futures_position!$I$2)*100*100+3202500</f>
        <v>4057500</v>
      </c>
      <c r="F121" s="4">
        <v>6370500.0</v>
      </c>
      <c r="G121" s="20">
        <f t="shared" si="99"/>
        <v>106050912.6</v>
      </c>
      <c r="I121" s="4" t="str">
        <f t="shared" si="100"/>
        <v>符合</v>
      </c>
    </row>
    <row r="122">
      <c r="B122" s="61">
        <v>46107.0</v>
      </c>
      <c r="C122" s="2">
        <f>stock!Z5*stock_position!BF5+stock!AF5*stock_position!BR5+stock!AG5*stock_position!AX6+stock!AB5*stock_position!BJ6+stock!AH5*stock_position!AZ6</f>
        <v>54391057.08</v>
      </c>
      <c r="D122" s="2">
        <f> stock!B5*stock_position!B5+stock!C5*stock_position!D5+stock!D5*stock_position!F5+stock!E5*stock_position!H5+stock!F5*stock_position!J5+stock!N5*stock_position!Z5</f>
        <v>40751209.5</v>
      </c>
      <c r="E122" s="4">
        <f>(futures!E5-futures_position!$I$2)*100*100+3202500</f>
        <v>3110500</v>
      </c>
      <c r="F122" s="4">
        <v>6370500.0</v>
      </c>
      <c r="G122" s="20">
        <f t="shared" si="99"/>
        <v>104623266.6</v>
      </c>
      <c r="I122" s="4" t="str">
        <f t="shared" si="100"/>
        <v>不符合</v>
      </c>
    </row>
    <row r="123">
      <c r="B123" s="61">
        <v>46108.0</v>
      </c>
      <c r="C123" s="2">
        <f>stock!Z6*stock_position!BF6+stock!AF6*stock_position!BR6+stock!AG6*stock_position!AX7+stock!AB6*stock_position!BJ7+stock!AH6*stock_position!AZ7</f>
        <v>53040318.88</v>
      </c>
      <c r="D123" s="2">
        <f> stock!B6*stock_position!B6+stock!C6*stock_position!D6+stock!D6*stock_position!F6+stock!E6*stock_position!H6+stock!F6*stock_position!J6+stock!N6*stock_position!Z6</f>
        <v>40005673.35</v>
      </c>
      <c r="E123" s="4">
        <f>(futures!E6-futures_position!$I$2)*100*100+3202500</f>
        <v>3788500</v>
      </c>
      <c r="F123" s="4">
        <v>6370500.0</v>
      </c>
      <c r="G123" s="20">
        <f t="shared" si="99"/>
        <v>103204992.2</v>
      </c>
      <c r="H123" s="4" t="s">
        <v>178</v>
      </c>
      <c r="I123" s="4" t="str">
        <f t="shared" si="100"/>
        <v>符合</v>
      </c>
    </row>
    <row r="124">
      <c r="B124" s="62">
        <v>46109.0</v>
      </c>
      <c r="F124" s="4">
        <v>6370500.0</v>
      </c>
      <c r="G124" s="20"/>
    </row>
    <row r="125">
      <c r="B125" s="62">
        <v>46110.0</v>
      </c>
      <c r="F125" s="4">
        <v>6370500.0</v>
      </c>
      <c r="G125" s="20"/>
    </row>
    <row r="126">
      <c r="B126" s="63">
        <v>46111.0</v>
      </c>
      <c r="C126" s="55">
        <f>stock!AF7*stock_position!BR2+stock!AG7*stock_position!AX2+stock!AB7*stock_position!BJ2+stock!AH7*stock_position!AZ2+stock!AA7*stock_position!BH7</f>
        <v>50785177.02</v>
      </c>
      <c r="D126" s="55">
        <f>stock!D7*stock_position!F7+stock!E7*stock_position!H7+stock!N7*stock_position!Z7+stock!F7*stock_position!J7+stock!O7*stock_position!AB7+stock!I7*stock_position!P7+stock!G7*stock_position!L7</f>
        <v>39051000.37</v>
      </c>
      <c r="E126" s="2">
        <f>(futures!E7-futures_position!$I$2)*100*100+3202500</f>
        <v>5105500</v>
      </c>
      <c r="F126" s="4">
        <v>6370500.0</v>
      </c>
      <c r="G126" s="20">
        <f t="shared" ref="G126:G129" si="101">C126+D126+E126+F126</f>
        <v>101312177.4</v>
      </c>
      <c r="H126" s="55"/>
      <c r="I126" s="4" t="str">
        <f t="shared" ref="I126:I129" si="102">IF(E126 &gt; 3202500, "符合","不符合")</f>
        <v>符合</v>
      </c>
    </row>
    <row r="127">
      <c r="B127" s="61">
        <v>46112.0</v>
      </c>
      <c r="C127" s="55">
        <f>stock!AF8*stock_position!BR3+stock!AG8*stock_position!AX3+stock!AB8*stock_position!BJ3+stock!AH8*stock_position!AZ3+stock!AA8*stock_position!BH8</f>
        <v>48197083.74</v>
      </c>
      <c r="D127" s="55">
        <f>stock!D8*stock_position!F8+stock!E8*stock_position!H8+stock!N8*stock_position!Z8+stock!F8*stock_position!J8+stock!O8*stock_position!AB8+stock!I8*stock_position!P8+stock!G8*stock_position!L8</f>
        <v>39283900.57</v>
      </c>
      <c r="E127" s="2">
        <f>(futures!E8-futures_position!$I$2)*100*100+3202500</f>
        <v>6358500</v>
      </c>
      <c r="F127" s="4">
        <v>6370500.0</v>
      </c>
      <c r="G127" s="20">
        <f t="shared" si="101"/>
        <v>100209984.3</v>
      </c>
      <c r="I127" s="4" t="str">
        <f t="shared" si="102"/>
        <v>符合</v>
      </c>
    </row>
    <row r="128">
      <c r="B128" s="61">
        <v>46113.0</v>
      </c>
      <c r="C128" s="55">
        <f>stock!AF9*stock_position!BR9+stock!AG9*stock_position!AX9+stock!AB9*stock_position!BJ9+stock!AH9*stock_position!AZ4+stock!AA9*stock_position!BH9</f>
        <v>51281022.45</v>
      </c>
      <c r="D128" s="55">
        <f>stock!D9*stock_position!F9+stock!E9*stock_position!H9+stock!N9*stock_position!Z9+stock!F9*stock_position!J9+stock!O9*stock_position!AB9+stock!I9*stock_position!P9+stock!G9*stock_position!L9</f>
        <v>39087133.27</v>
      </c>
      <c r="E128" s="2">
        <f>(futures!E9-futures_position!$I$2)*100*100+3202500</f>
        <v>4853500</v>
      </c>
      <c r="F128" s="4">
        <v>6370500.0</v>
      </c>
      <c r="G128" s="20">
        <f t="shared" si="101"/>
        <v>101592155.7</v>
      </c>
      <c r="I128" s="4" t="str">
        <f t="shared" si="102"/>
        <v>符合</v>
      </c>
    </row>
    <row r="129">
      <c r="B129" s="61">
        <v>46114.0</v>
      </c>
      <c r="C129" s="55">
        <f>stock!AF10*stock_position!BR5+stock!AG10*stock_position!AX5+stock!AB10*stock_position!BJ10+stock!AH10*stock_position!AZ5+stock!AA10*stock_position!BH10</f>
        <v>50711210.13</v>
      </c>
      <c r="D129" s="55">
        <f>stock!D10*stock_position!F10+stock!E10*stock_position!H10+stock!N10*stock_position!Z10+stock!F10*stock_position!J10+stock!O10*stock_position!AB10+stock!I10*stock_position!P10+stock!G10*stock_position!L10</f>
        <v>39919332.21</v>
      </c>
      <c r="E129" s="2">
        <f>(futures!E10-futures_position!$I$2)*100*100+3202500</f>
        <v>5729500</v>
      </c>
      <c r="F129" s="4">
        <v>6370500.0</v>
      </c>
      <c r="G129" s="20">
        <f t="shared" si="101"/>
        <v>102730542.3</v>
      </c>
      <c r="H129" s="47">
        <v>1.01576999E8</v>
      </c>
      <c r="I129" s="4" t="str">
        <f t="shared" si="102"/>
        <v>符合</v>
      </c>
    </row>
    <row r="130">
      <c r="B130" s="62">
        <v>46115.0</v>
      </c>
      <c r="C130" s="55"/>
      <c r="D130" s="55"/>
      <c r="F130" s="4">
        <v>6370500.0</v>
      </c>
    </row>
    <row r="131">
      <c r="B131" s="62">
        <v>46116.0</v>
      </c>
      <c r="C131" s="55"/>
      <c r="D131" s="55"/>
      <c r="F131" s="4">
        <v>6370500.0</v>
      </c>
    </row>
    <row r="132">
      <c r="B132" s="62">
        <v>46117.0</v>
      </c>
      <c r="C132" s="55"/>
      <c r="D132" s="55"/>
      <c r="F132" s="4">
        <v>6370500.0</v>
      </c>
    </row>
    <row r="133">
      <c r="B133" s="61">
        <v>46118.0</v>
      </c>
      <c r="C133" s="55">
        <f>stock!AF11*stock_position!BR2+stock!AG11*stock_position!AX2+stock!AB11*stock_position!BJ2+stock!AH11*stock_position!AZ2+stock!AA11*stock_position!BH7</f>
        <v>50711210.13</v>
      </c>
      <c r="D133" s="55">
        <f>stock!D11*stock_position!F11+stock!E11*stock_position!H11+stock!N11*stock_position!Z11+stock!F11*stock_position!J11+stock!O11*stock_position!AB11+stock!I11*stock_position!P11+stock!G11*stock_position!L11</f>
        <v>39618741.07</v>
      </c>
      <c r="E133" s="2">
        <f>(futures!E11-futures_position!$I$2)*100*100+3202500</f>
        <v>5522500</v>
      </c>
      <c r="F133" s="4">
        <v>6370500.0</v>
      </c>
      <c r="G133" s="11">
        <f t="shared" ref="G133:G137" si="103">C133+D133+E133+F133</f>
        <v>102222951.2</v>
      </c>
      <c r="I133" s="4" t="str">
        <f t="shared" ref="I133:I137" si="104">IF(E133 &gt; 3202500, "符合","不符合")</f>
        <v>符合</v>
      </c>
    </row>
    <row r="134">
      <c r="B134" s="61">
        <v>46119.0</v>
      </c>
      <c r="C134" s="55">
        <f>stock!AF12*stock_position!BR3+stock!AG12*stock_position!AX3+stock!AB12*stock_position!BJ3+stock!AH12*stock_position!AZ3+stock!AA12*stock_position!BH8</f>
        <v>50320633.8</v>
      </c>
      <c r="D134" s="55">
        <f>stock!D12*stock_position!F12+stock!E12*stock_position!H12+stock!N12*stock_position!Z12+stock!F12*stock_position!J12+stock!O12*stock_position!AB12+stock!I12*stock_position!P12+stock!G12*stock_position!L12</f>
        <v>39344496.35</v>
      </c>
      <c r="E134" s="2">
        <f>(futures!E12-futures_position!$I$2)*100*100+3202500</f>
        <v>7061500</v>
      </c>
      <c r="F134" s="4">
        <v>6370500.0</v>
      </c>
      <c r="G134" s="11">
        <f t="shared" si="103"/>
        <v>103097130.1</v>
      </c>
      <c r="I134" s="4" t="str">
        <f t="shared" si="104"/>
        <v>符合</v>
      </c>
    </row>
    <row r="135">
      <c r="B135" s="61">
        <v>46120.0</v>
      </c>
      <c r="C135" s="55">
        <f>stock!AF13*stock_position!BR4+stock!AG13*stock_position!AX4+stock!AB13*stock_position!BJ4+stock!AH13*stock_position!AZ4+stock!AA13*stock_position!BH9</f>
        <v>52947204.87</v>
      </c>
      <c r="D135" s="55">
        <f>stock!D13*stock_position!F13+stock!E13*stock_position!H13+stock!N13*stock_position!Z13+stock!F13*stock_position!J13+stock!O13*stock_position!AB13+stock!I13*stock_position!P13+stock!G13*stock_position!L13</f>
        <v>39658168.49</v>
      </c>
      <c r="E135" s="2">
        <f>(futures!E13-futures_position!$I$2)*100*100+3202500</f>
        <v>6099500</v>
      </c>
      <c r="F135" s="4">
        <v>6370500.0</v>
      </c>
      <c r="G135" s="11">
        <f t="shared" si="103"/>
        <v>105075373.4</v>
      </c>
      <c r="I135" s="4" t="str">
        <f t="shared" si="104"/>
        <v>符合</v>
      </c>
    </row>
    <row r="136">
      <c r="B136" s="61">
        <v>46121.0</v>
      </c>
      <c r="C136" s="55">
        <f>stock!AF14*stock_position!BR5+stock!AG14*stock_position!AX5+stock!AB14*stock_position!BJ5+stock!AH14*stock_position!AZ5+stock!AA14*stock_position!BH10</f>
        <v>55194649.8</v>
      </c>
      <c r="D136" s="55">
        <f>stock!D14*stock_position!F14+stock!E14*stock_position!H14+stock!N14*stock_position!Z14+stock!F14*stock_position!J14+stock!O14*stock_position!AB14+stock!I14*stock_position!P14+stock!G14*stock_position!L14</f>
        <v>39338805.08</v>
      </c>
      <c r="E136" s="2">
        <f>(futures!E14-futures_position!$I$2)*100*100+3202500</f>
        <v>6473500</v>
      </c>
      <c r="F136" s="4">
        <v>6370500.0</v>
      </c>
      <c r="G136" s="11">
        <f t="shared" si="103"/>
        <v>107377454.9</v>
      </c>
      <c r="I136" s="4" t="str">
        <f t="shared" si="104"/>
        <v>符合</v>
      </c>
    </row>
    <row r="137">
      <c r="B137" s="61">
        <v>46122.0</v>
      </c>
      <c r="C137" s="55">
        <f>stock!AF15*stock_position!BR6+stock!AG15*stock_position!AX6+stock!AB15*stock_position!BJ6+stock!AH15*stock_position!AZ6+stock!AA15*stock_position!BH11</f>
        <v>55722561.9</v>
      </c>
      <c r="D137" s="55">
        <f>stock!D15*stock_position!F15+stock!E15*stock_position!H15+stock!N15*stock_position!Z15+stock!F15*stock_position!J15+stock!O15*stock_position!AB15+stock!I15*stock_position!P15+stock!G15*stock_position!L15</f>
        <v>40014901.45</v>
      </c>
      <c r="E137" s="2">
        <f>(futures!E15-futures_position!$I$2)*100*100+3202500</f>
        <v>6412500</v>
      </c>
      <c r="F137" s="4">
        <v>6370500.0</v>
      </c>
      <c r="G137" s="11">
        <f t="shared" si="103"/>
        <v>108520463.3</v>
      </c>
      <c r="H137" s="47">
        <v>1.0736692E8</v>
      </c>
      <c r="I137" s="4" t="str">
        <f t="shared" si="104"/>
        <v>符合</v>
      </c>
    </row>
    <row r="138">
      <c r="B138" s="62">
        <v>46123.0</v>
      </c>
      <c r="D138" s="55"/>
    </row>
    <row r="139">
      <c r="B139" s="62">
        <v>46124.0</v>
      </c>
      <c r="D139" s="64" t="s">
        <v>179</v>
      </c>
      <c r="E139" s="48">
        <f>(futures_position!I16-futures_position!$I$2)*100*100+3202500</f>
        <v>5742500</v>
      </c>
      <c r="G139" s="48">
        <f>E139+F137</f>
        <v>12113000</v>
      </c>
      <c r="H139" s="65" t="s">
        <v>180</v>
      </c>
    </row>
    <row r="140">
      <c r="B140" s="61">
        <v>46125.0</v>
      </c>
      <c r="C140" s="55">
        <f>stock!AG16*stock_position!AX2+stock!AB16*stock_position!BJ2+stock!AH16*stock_position!AZ2+stock!AA16*stock_position!BH7+stock!AC16*stock_position!BN16</f>
        <v>58406274.08</v>
      </c>
      <c r="D140" s="55">
        <f>stock!E16*stock_position!H16+stock!N16*stock_position!Z16+stock!F16*stock_position!J16+stock!O16*stock_position!AB16+stock!I16*stock_position!P16+stock!G16*stock_position!L16+stock!H16*stock_position!N16</f>
        <v>40377092.15</v>
      </c>
      <c r="E140" s="2">
        <f>(futures!F16-futures_position!$K$16)*300*25000+3600000</f>
        <v>5133750</v>
      </c>
      <c r="F140" s="4">
        <f>G139-3600000</f>
        <v>8513000</v>
      </c>
      <c r="G140" s="11">
        <f t="shared" ref="G140:G144" si="105">C140+D140+E140+F140</f>
        <v>112430116.2</v>
      </c>
      <c r="I140" s="2" t="str">
        <f t="shared" ref="I140:I144" si="106">IF(E140 &gt; 3600000, "符合","不符合")</f>
        <v>符合</v>
      </c>
    </row>
    <row r="141">
      <c r="B141" s="61">
        <v>46126.0</v>
      </c>
      <c r="C141" s="55">
        <f>stock!AG17*stock_position!AX3+stock!AB17*stock_position!BJ3+stock!AH17*stock_position!AZ3+stock!AA17*stock_position!BH8+stock!AC17*stock_position!BN17</f>
        <v>56114088.72</v>
      </c>
      <c r="D141" s="55">
        <f>stock!E17*stock_position!H17+stock!N17*stock_position!Z17+stock!F17*stock_position!J17+stock!O17*stock_position!AB17+stock!I17*stock_position!P17+stock!G17*stock_position!L17+stock!H17*stock_position!N17</f>
        <v>40561065.55</v>
      </c>
      <c r="E141" s="2">
        <f>(futures!F17-futures_position!$K$16)*300*25000+3600000</f>
        <v>5745000</v>
      </c>
      <c r="F141" s="4">
        <v>8513000.0</v>
      </c>
      <c r="G141" s="11">
        <f t="shared" si="105"/>
        <v>110933154.3</v>
      </c>
      <c r="I141" s="2" t="str">
        <f t="shared" si="106"/>
        <v>符合</v>
      </c>
    </row>
    <row r="142">
      <c r="B142" s="61">
        <v>46127.0</v>
      </c>
      <c r="C142" s="55">
        <f>stock!AG18*stock_position!AX4+stock!AB18*stock_position!BJ4+stock!AH18*stock_position!AZ4+stock!AA18*stock_position!BH9+stock!AC18*stock_position!BN18</f>
        <v>58240568.85</v>
      </c>
      <c r="D142" s="55">
        <f>stock!E18*stock_position!H18+stock!N18*stock_position!Z18+stock!F18*stock_position!J18+stock!O18*stock_position!AB18+stock!I18*stock_position!P18+stock!G18*stock_position!L18+stock!H18*stock_position!N18</f>
        <v>40454706.65</v>
      </c>
      <c r="E142" s="2">
        <f>(futures!F18-futures_position!$K$16)*300*25000+3600000</f>
        <v>5917500</v>
      </c>
      <c r="F142" s="4">
        <v>8513000.0</v>
      </c>
      <c r="G142" s="11">
        <f t="shared" si="105"/>
        <v>113125775.5</v>
      </c>
      <c r="I142" s="2" t="str">
        <f t="shared" si="106"/>
        <v>符合</v>
      </c>
    </row>
    <row r="143">
      <c r="B143" s="61">
        <v>46128.0</v>
      </c>
      <c r="C143" s="55">
        <f>stock!AG19*stock_position!AX5+stock!AB19*stock_position!BJ5+stock!AH19*stock_position!AZ5+stock!AA19*stock_position!BH10+stock!AC19*stock_position!BN19</f>
        <v>58665675.67</v>
      </c>
      <c r="D143" s="55">
        <f>stock!E19*stock_position!H19+stock!N19*stock_position!Z19+stock!F19*stock_position!J19+stock!O19*stock_position!AB19+stock!I19*stock_position!P19+stock!G19*stock_position!L19+stock!H19*stock_position!N19</f>
        <v>42154429.91</v>
      </c>
      <c r="E143" s="2">
        <f>(futures!F19-futures_position!$K$16)*300*25000+3600000</f>
        <v>5291250</v>
      </c>
      <c r="F143" s="4">
        <v>8513000.0</v>
      </c>
      <c r="G143" s="11">
        <f t="shared" si="105"/>
        <v>114624355.6</v>
      </c>
      <c r="I143" s="2" t="str">
        <f t="shared" si="106"/>
        <v>符合</v>
      </c>
    </row>
    <row r="144">
      <c r="B144" s="61">
        <v>46129.0</v>
      </c>
      <c r="C144" s="55">
        <f>stock!AG20*stock_position!AX6+stock!AB20*stock_position!BJ6+stock!AH20*stock_position!AZ6+stock!AA20*stock_position!BH11+stock!AC20*stock_position!BN20</f>
        <v>59905900.02</v>
      </c>
      <c r="D144" s="55">
        <f>stock!E20*stock_position!H20+stock!N20*stock_position!Z20+stock!F20*stock_position!J20+stock!O20*stock_position!AB20+stock!I20*stock_position!P20+stock!G20*stock_position!L20+stock!H20*stock_position!N20</f>
        <v>41717826.42</v>
      </c>
      <c r="E144" s="2">
        <f>(futures!F20-futures_position!$K$16)*300*25000+3600000</f>
        <v>5643750</v>
      </c>
      <c r="F144" s="4">
        <v>8513000.0</v>
      </c>
      <c r="G144" s="11">
        <f t="shared" si="105"/>
        <v>115780476.4</v>
      </c>
      <c r="H144" s="47">
        <v>1.14535682E8</v>
      </c>
      <c r="I144" s="2" t="str">
        <f t="shared" si="106"/>
        <v>符合</v>
      </c>
    </row>
    <row r="145">
      <c r="B145" s="62">
        <v>46130.0</v>
      </c>
      <c r="C145" s="55"/>
      <c r="D145" s="11">
        <f>C144+D144</f>
        <v>101623726.4</v>
      </c>
      <c r="F145" s="2">
        <f>E144+F144</f>
        <v>14156750</v>
      </c>
      <c r="G145" s="11"/>
    </row>
    <row r="146">
      <c r="B146" s="62">
        <v>46131.0</v>
      </c>
      <c r="G146" s="11"/>
    </row>
    <row r="147">
      <c r="B147" s="66">
        <v>46132.0</v>
      </c>
      <c r="C147" s="39">
        <f> stock!AG21*stock_position!AX21+stock!AB21*stock_position!BJ21+stock!AH21*stock_position!AZ21+stock!AC21*stock_position!BN21+stock!AD21*stock_position!BL21</f>
        <v>62124632.59</v>
      </c>
      <c r="D147" s="39">
        <f>stock!N21*stock_position!Z21+stock!O21*stock_position!AB21+stock!I21*stock_position!P21+stock!J21*stock_position!R21+stock!K21*stock_position!T21+stock!P21*stock_position!AD21+stock!Q21*stock_position!AF21+stock!L21*stock_position!V21</f>
        <v>41641396.38</v>
      </c>
      <c r="E147" s="41">
        <f>(futures!F21-futures_position!$K$16)*300*25000+3600000</f>
        <v>5362500</v>
      </c>
      <c r="F147" s="41">
        <v>8513000.0</v>
      </c>
      <c r="G147" s="67">
        <f t="shared" ref="G147:G151" si="107">C147+D147+E147+F147</f>
        <v>117641529</v>
      </c>
      <c r="H147" s="41"/>
      <c r="I147" s="39" t="str">
        <f t="shared" ref="I147:I151" si="108">IF(E147 &gt; 3600000, "符合","不符合")</f>
        <v>符合</v>
      </c>
    </row>
    <row r="148">
      <c r="B148" s="61">
        <v>46133.0</v>
      </c>
      <c r="C148" s="2">
        <f> stock!AG22*stock_position!AX22+stock!AB22*stock_position!BJ22+stock!AH22*stock_position!AZ22+stock!AC22*stock_position!BN22+stock!AD22*stock_position!BL22</f>
        <v>62043123.2</v>
      </c>
      <c r="D148" s="2">
        <f>stock!N22*stock_position!Z22+stock!O22*stock_position!AB22+stock!I22*stock_position!P22+stock!J22*stock_position!R22+stock!K22*stock_position!T22+stock!P22*stock_position!AD22+stock!Q22*stock_position!AF22+stock!L22*stock_position!V22</f>
        <v>41819488.26</v>
      </c>
      <c r="E148" s="2">
        <f>(futures!F22-futures_position!$K$16)*300*25000+3600000</f>
        <v>5463750</v>
      </c>
      <c r="F148" s="4">
        <v>8513000.0</v>
      </c>
      <c r="G148" s="68">
        <f t="shared" si="107"/>
        <v>117839361.5</v>
      </c>
      <c r="H148" s="4" t="s">
        <v>181</v>
      </c>
      <c r="I148" s="2" t="str">
        <f t="shared" si="108"/>
        <v>符合</v>
      </c>
    </row>
    <row r="149">
      <c r="B149" s="61">
        <v>46134.0</v>
      </c>
      <c r="C149" s="2">
        <f> stock!AG23*stock_position!AX23+stock!AB23*stock_position!BJ23+stock!AH23*stock_position!AZ23+stock!AC23*stock_position!BN23+stock!AD23*stock_position!BL23</f>
        <v>61653787.13</v>
      </c>
      <c r="D149" s="2">
        <f>stock!N23*stock_position!Z23+stock!O23*stock_position!AB23+stock!I23*stock_position!P23+stock!J23*stock_position!R23+stock!K23*stock_position!T23+stock!P23*stock_position!AD23+stock!Q23*stock_position!AF23+stock!L23*stock_position!V23</f>
        <v>43472919.99</v>
      </c>
      <c r="E149" s="2">
        <f>(futures!F23-futures_position!$K$16)*300*25000+3600000</f>
        <v>5542500</v>
      </c>
      <c r="F149" s="4">
        <v>8513000.0</v>
      </c>
      <c r="G149" s="68">
        <f t="shared" si="107"/>
        <v>119182207.1</v>
      </c>
      <c r="I149" s="2" t="str">
        <f t="shared" si="108"/>
        <v>符合</v>
      </c>
    </row>
    <row r="150">
      <c r="B150" s="61">
        <v>46135.0</v>
      </c>
      <c r="C150" s="2">
        <f> stock!AG24*stock_position!AX24+stock!AB24*stock_position!BJ24+stock!AH24*stock_position!AZ24+stock!AC24*stock_position!BN24+stock!AD24*stock_position!BL24</f>
        <v>57912941.91</v>
      </c>
      <c r="D150" s="2">
        <f>stock!N24*stock_position!Z24+stock!O24*stock_position!AB24+stock!I24*stock_position!P24+stock!J24*stock_position!R24+stock!K24*stock_position!T24+stock!P24*stock_position!AD24+stock!Q24*stock_position!AF24+stock!L24*stock_position!V24</f>
        <v>42494392.11</v>
      </c>
      <c r="E150" s="2">
        <f>(futures!F24-futures_position!$K$16)*300*25000+3600000</f>
        <v>5088750</v>
      </c>
      <c r="F150" s="4">
        <v>8513000.0</v>
      </c>
      <c r="G150" s="68">
        <f t="shared" si="107"/>
        <v>114009084</v>
      </c>
      <c r="I150" s="2" t="str">
        <f t="shared" si="108"/>
        <v>符合</v>
      </c>
    </row>
    <row r="151">
      <c r="B151" s="61">
        <v>46136.0</v>
      </c>
      <c r="C151" s="2">
        <f> stock!AG25*stock_position!AX25+stock!AB25*stock_position!BJ25+stock!AH25*stock_position!AZ25+stock!AC25*stock_position!BN25+stock!AD25*stock_position!BL25</f>
        <v>60490612.03</v>
      </c>
      <c r="D151" s="2">
        <f>stock!N25*stock_position!Z25+stock!O25*stock_position!AB25+stock!I25*stock_position!P25+stock!J25*stock_position!R25+stock!K25*stock_position!T25+stock!P25*stock_position!AD25+stock!Q25*stock_position!AF25+stock!L25*stock_position!V25</f>
        <v>43206837.92</v>
      </c>
      <c r="E151" s="2">
        <f>(futures!F25-futures_position!$K$16)*300*25000+3600000</f>
        <v>5246250</v>
      </c>
      <c r="F151" s="4">
        <v>8513000.0</v>
      </c>
      <c r="G151" s="68">
        <f t="shared" si="107"/>
        <v>117456699.9</v>
      </c>
      <c r="H151" s="36">
        <v>1.1621099941E8</v>
      </c>
      <c r="I151" s="2" t="str">
        <f t="shared" si="108"/>
        <v>符合</v>
      </c>
    </row>
    <row r="152">
      <c r="B152" s="61">
        <v>46137.0</v>
      </c>
      <c r="C152" s="41" t="s">
        <v>182</v>
      </c>
      <c r="D152" s="39">
        <f>C151+D151</f>
        <v>103697449.9</v>
      </c>
    </row>
    <row r="153">
      <c r="B153" s="61">
        <v>46138.0</v>
      </c>
      <c r="C153" s="41"/>
      <c r="D153" s="39"/>
    </row>
    <row r="154">
      <c r="B154" s="61">
        <v>46139.0</v>
      </c>
      <c r="I154" s="69"/>
    </row>
    <row r="155">
      <c r="B155" s="39"/>
      <c r="C155" s="39"/>
      <c r="D155" s="39"/>
      <c r="E155" s="39"/>
      <c r="F155" s="39"/>
      <c r="G155" s="39"/>
      <c r="H155" s="39"/>
      <c r="I155" s="39"/>
    </row>
    <row r="156">
      <c r="B156" s="20"/>
    </row>
    <row r="159">
      <c r="C159" s="4" t="s">
        <v>183</v>
      </c>
      <c r="D159" s="2">
        <f>D161-D160</f>
        <v>91650628</v>
      </c>
      <c r="F159" s="70"/>
    </row>
    <row r="160">
      <c r="C160" s="4" t="s">
        <v>155</v>
      </c>
      <c r="D160" s="4">
        <v>810357.0</v>
      </c>
    </row>
    <row r="161">
      <c r="B161" s="4" t="s">
        <v>184</v>
      </c>
      <c r="C161" s="4" t="s">
        <v>185</v>
      </c>
      <c r="D161" s="4">
        <v>9.2460985E7</v>
      </c>
    </row>
    <row r="163">
      <c r="C163" s="4" t="s">
        <v>186</v>
      </c>
      <c r="D163" s="4">
        <v>3202500.0</v>
      </c>
      <c r="E163" s="4" t="s">
        <v>187</v>
      </c>
      <c r="F163" s="4">
        <v>3202500.0</v>
      </c>
      <c r="G163" s="4" t="s">
        <v>188</v>
      </c>
      <c r="H163" s="2">
        <f>F163-F165</f>
        <v>427000</v>
      </c>
    </row>
    <row r="164">
      <c r="B164" s="4" t="s">
        <v>184</v>
      </c>
      <c r="C164" s="4" t="s">
        <v>189</v>
      </c>
      <c r="D164" s="4">
        <v>-427000.0</v>
      </c>
      <c r="E164" s="4" t="s">
        <v>190</v>
      </c>
      <c r="F164" s="2">
        <f>100*100*(4407.3-4450)</f>
        <v>-427000</v>
      </c>
    </row>
    <row r="165">
      <c r="C165" s="4" t="s">
        <v>191</v>
      </c>
      <c r="D165" s="4">
        <v>4.45E7</v>
      </c>
      <c r="E165" s="4" t="s">
        <v>192</v>
      </c>
      <c r="F165" s="2">
        <f>F163+F164</f>
        <v>2775500</v>
      </c>
      <c r="G165" s="4" t="s">
        <v>193</v>
      </c>
      <c r="H165" s="4">
        <v>3202500.0</v>
      </c>
    </row>
    <row r="166">
      <c r="C166" s="4" t="s">
        <v>194</v>
      </c>
      <c r="D166" s="4">
        <v>4.4073E7</v>
      </c>
      <c r="E166" s="4" t="s">
        <v>195</v>
      </c>
      <c r="G166" s="4" t="s">
        <v>196</v>
      </c>
      <c r="H166" s="2">
        <f>D167-H163</f>
        <v>6370500</v>
      </c>
      <c r="I166" s="55"/>
    </row>
    <row r="167">
      <c r="C167" s="4" t="s">
        <v>173</v>
      </c>
      <c r="D167" s="4">
        <f>10000000-3202500</f>
        <v>6797500</v>
      </c>
    </row>
    <row r="169">
      <c r="C169" s="4" t="s">
        <v>197</v>
      </c>
      <c r="D169" s="2">
        <f>D171-D170</f>
        <v>22938.65</v>
      </c>
      <c r="I169" s="4" t="s">
        <v>184</v>
      </c>
    </row>
    <row r="170">
      <c r="B170" s="4" t="s">
        <v>184</v>
      </c>
      <c r="C170" s="4" t="s">
        <v>198</v>
      </c>
      <c r="D170" s="4">
        <v>337.0</v>
      </c>
    </row>
    <row r="171">
      <c r="C171" s="4" t="s">
        <v>199</v>
      </c>
      <c r="D171" s="4">
        <v>23275.65</v>
      </c>
    </row>
    <row r="173">
      <c r="C173" s="4" t="s">
        <v>200</v>
      </c>
      <c r="D173" s="4" t="s">
        <v>201</v>
      </c>
      <c r="E173" s="2">
        <f>810357-427000-23275.65</f>
        <v>360081.35</v>
      </c>
    </row>
    <row r="174">
      <c r="D174" s="4" t="s">
        <v>202</v>
      </c>
    </row>
    <row r="176">
      <c r="C176" s="4" t="s">
        <v>203</v>
      </c>
      <c r="D176" s="4" t="s">
        <v>204</v>
      </c>
      <c r="E176" s="2">
        <f>100000000+360081.35</f>
        <v>100360081.4</v>
      </c>
    </row>
    <row r="177">
      <c r="B177" s="4" t="s">
        <v>184</v>
      </c>
      <c r="C177" s="4" t="s">
        <v>205</v>
      </c>
      <c r="D177" s="4" t="s">
        <v>206</v>
      </c>
      <c r="H177" s="4">
        <f>D160+D164-D171+100000000</f>
        <v>100360081.4</v>
      </c>
      <c r="I177" s="4" t="s">
        <v>184</v>
      </c>
    </row>
    <row r="178">
      <c r="C178" s="4" t="s">
        <v>205</v>
      </c>
      <c r="D178" s="4" t="s">
        <v>207</v>
      </c>
      <c r="H178" s="71"/>
    </row>
    <row r="179">
      <c r="C179" s="4" t="s">
        <v>205</v>
      </c>
      <c r="D179" s="4" t="s">
        <v>208</v>
      </c>
    </row>
    <row r="182">
      <c r="C182" s="4" t="s">
        <v>209</v>
      </c>
      <c r="D182" s="4" t="s">
        <v>210</v>
      </c>
      <c r="H182" s="2">
        <f>D161+D163-D169-D170-0</f>
        <v>95640209.35</v>
      </c>
    </row>
    <row r="183">
      <c r="D183" s="4" t="s">
        <v>211</v>
      </c>
    </row>
    <row r="184">
      <c r="D184" s="4">
        <v>1.0E8</v>
      </c>
      <c r="E184" s="2">
        <f>D184-D159-D163</f>
        <v>5146872</v>
      </c>
      <c r="I184" s="4" t="s">
        <v>184</v>
      </c>
    </row>
    <row r="186">
      <c r="D186" s="4" t="s">
        <v>212</v>
      </c>
    </row>
    <row r="187">
      <c r="D187" s="2">
        <f>E184+D163+D159+D160-D169-D170</f>
        <v>100787081.4</v>
      </c>
      <c r="E187" s="2">
        <f>D187+D164</f>
        <v>100360081.4</v>
      </c>
      <c r="F187" s="4" t="s">
        <v>213</v>
      </c>
    </row>
    <row r="190">
      <c r="D190" s="4">
        <v>1.0E8</v>
      </c>
      <c r="E190" s="4" t="s">
        <v>214</v>
      </c>
    </row>
    <row r="191">
      <c r="C191" s="54">
        <v>1.00158634E8</v>
      </c>
      <c r="E191" s="4">
        <v>5146872.0</v>
      </c>
      <c r="F191" s="4">
        <v>3202500.0</v>
      </c>
      <c r="G191" s="4">
        <v>9.1650628E7</v>
      </c>
    </row>
    <row r="192">
      <c r="D192" s="4">
        <v>158634.0</v>
      </c>
      <c r="E192" s="4" t="s">
        <v>215</v>
      </c>
      <c r="I192" s="2">
        <f>H177-H182</f>
        <v>4719872</v>
      </c>
    </row>
    <row r="193">
      <c r="D193" s="4"/>
      <c r="E193" s="4"/>
    </row>
    <row r="194">
      <c r="E194" s="4">
        <v>-1683002.0</v>
      </c>
      <c r="F194" s="4">
        <v>1903000.0</v>
      </c>
      <c r="G194" s="4">
        <v>32649.35</v>
      </c>
      <c r="H194" s="72">
        <v>28714.68</v>
      </c>
    </row>
    <row r="195">
      <c r="C195" s="2">
        <f>J82+F82-N82-O82+(G82-F82)+E194+G191</f>
        <v>100158634</v>
      </c>
      <c r="D195" s="4" t="s">
        <v>216</v>
      </c>
    </row>
    <row r="196">
      <c r="C196" s="4" t="s">
        <v>217</v>
      </c>
      <c r="D196" s="4" t="s">
        <v>218</v>
      </c>
      <c r="E196" s="4">
        <v>9.1650628E7</v>
      </c>
    </row>
    <row r="197">
      <c r="C197" s="4" t="s">
        <v>219</v>
      </c>
      <c r="D197" s="4" t="s">
        <v>155</v>
      </c>
      <c r="E197" s="4">
        <v>-1683002.0</v>
      </c>
    </row>
    <row r="198">
      <c r="C198" s="4" t="s">
        <v>184</v>
      </c>
      <c r="D198" s="4" t="s">
        <v>185</v>
      </c>
      <c r="E198" s="2">
        <f>D82+E82</f>
        <v>89836177.39</v>
      </c>
    </row>
    <row r="199">
      <c r="C199" s="4" t="s">
        <v>219</v>
      </c>
      <c r="D199" s="4" t="s">
        <v>220</v>
      </c>
      <c r="F199" s="2">
        <f>E196+E197</f>
        <v>89967626</v>
      </c>
    </row>
    <row r="200">
      <c r="D200" s="4" t="s">
        <v>165</v>
      </c>
      <c r="E200" s="2">
        <f>F199-E198</f>
        <v>131448.6078</v>
      </c>
      <c r="F200" s="4" t="s">
        <v>221</v>
      </c>
    </row>
    <row r="201">
      <c r="D201" s="4" t="s">
        <v>222</v>
      </c>
      <c r="E201" s="2">
        <f>E196-E200</f>
        <v>91519179.39</v>
      </c>
    </row>
    <row r="202">
      <c r="D202" s="4" t="s">
        <v>223</v>
      </c>
      <c r="E202" s="2">
        <f>E201</f>
        <v>91519179.39</v>
      </c>
    </row>
    <row r="203">
      <c r="D203" s="4" t="s">
        <v>155</v>
      </c>
      <c r="E203" s="4">
        <f>E197</f>
        <v>-1683002</v>
      </c>
      <c r="G203" s="4">
        <v>5146872.0</v>
      </c>
      <c r="I203" s="4">
        <v>1.0E8</v>
      </c>
    </row>
    <row r="204">
      <c r="D204" s="4" t="s">
        <v>185</v>
      </c>
      <c r="E204" s="2">
        <f>E202+E203</f>
        <v>89836177.39</v>
      </c>
      <c r="G204" s="4">
        <v>-1683002.0</v>
      </c>
      <c r="H204" s="4" t="s">
        <v>224</v>
      </c>
    </row>
    <row r="205">
      <c r="G205" s="4">
        <v>1903000.0</v>
      </c>
      <c r="I205" s="2">
        <f>F194+E194-G194-H194</f>
        <v>158633.97</v>
      </c>
    </row>
    <row r="206">
      <c r="G206" s="4">
        <v>-32649.35</v>
      </c>
    </row>
    <row r="207">
      <c r="E207" s="4" t="s">
        <v>225</v>
      </c>
      <c r="G207" s="4">
        <v>-28714.68</v>
      </c>
    </row>
    <row r="208">
      <c r="E208" s="4" t="s">
        <v>226</v>
      </c>
      <c r="G208" s="4">
        <v>3202500.0</v>
      </c>
    </row>
    <row r="209">
      <c r="E209" s="2">
        <f>E198</f>
        <v>89836177.39</v>
      </c>
      <c r="G209" s="2">
        <f>G191</f>
        <v>91650628</v>
      </c>
      <c r="H209" s="4" t="s">
        <v>227</v>
      </c>
    </row>
    <row r="210">
      <c r="G210" s="2">
        <f>G203+G204+G205+G206+G207+G208+G209</f>
        <v>100158634</v>
      </c>
    </row>
    <row r="212">
      <c r="C212" s="20"/>
      <c r="D212" s="73" t="s">
        <v>228</v>
      </c>
      <c r="E212" s="73" t="s">
        <v>229</v>
      </c>
      <c r="F212" s="73" t="s">
        <v>183</v>
      </c>
      <c r="G212" s="73" t="s">
        <v>186</v>
      </c>
    </row>
    <row r="213">
      <c r="C213" s="73" t="s">
        <v>230</v>
      </c>
      <c r="D213" s="74">
        <f>E213-F213-G213-F2-G2-I2</f>
        <v>5123596.35</v>
      </c>
      <c r="E213" s="73">
        <v>1.0E8</v>
      </c>
      <c r="F213" s="74">
        <f>D159</f>
        <v>91650628</v>
      </c>
      <c r="G213" s="73">
        <v>3202500.0</v>
      </c>
    </row>
    <row r="214">
      <c r="C214" s="73" t="s">
        <v>231</v>
      </c>
      <c r="D214" s="74">
        <f>D213-427000</f>
        <v>4696596.35</v>
      </c>
      <c r="E214" s="74"/>
      <c r="F214" s="74"/>
      <c r="G214" s="74"/>
    </row>
    <row r="215">
      <c r="C215" s="73" t="s">
        <v>232</v>
      </c>
      <c r="D215" s="73" t="s">
        <v>233</v>
      </c>
      <c r="E215" s="74"/>
      <c r="F215" s="74"/>
      <c r="G215" s="74"/>
    </row>
    <row r="216">
      <c r="C216" s="73" t="s">
        <v>234</v>
      </c>
      <c r="D216" s="74">
        <f>D214-92000</f>
        <v>4604596.35</v>
      </c>
      <c r="E216" s="74"/>
      <c r="F216" s="74"/>
      <c r="G216" s="74"/>
    </row>
    <row r="217">
      <c r="C217" s="73" t="s">
        <v>232</v>
      </c>
      <c r="D217" s="73" t="s">
        <v>235</v>
      </c>
      <c r="E217" s="74"/>
      <c r="F217" s="74"/>
      <c r="G217" s="74"/>
    </row>
    <row r="218">
      <c r="C218" s="74"/>
      <c r="D218" s="74"/>
      <c r="E218" s="74"/>
      <c r="F218" s="74"/>
      <c r="G218" s="74"/>
    </row>
    <row r="219">
      <c r="C219" s="74"/>
      <c r="D219" s="74"/>
      <c r="E219" s="74"/>
      <c r="F219" s="73" t="s">
        <v>183</v>
      </c>
      <c r="G219" s="73" t="s">
        <v>186</v>
      </c>
    </row>
    <row r="220">
      <c r="C220" s="74"/>
      <c r="D220" s="74">
        <f>D216</f>
        <v>4604596.35</v>
      </c>
      <c r="E220" s="74"/>
      <c r="F220" s="74">
        <f>F213-P82</f>
        <v>91519179.39</v>
      </c>
      <c r="G220" s="73">
        <v>3202500.0</v>
      </c>
    </row>
    <row r="221">
      <c r="C221" s="74"/>
      <c r="D221" s="74"/>
      <c r="E221" s="74"/>
      <c r="F221" s="74"/>
      <c r="G221" s="74"/>
    </row>
    <row r="222">
      <c r="C222" s="74"/>
      <c r="D222" s="74"/>
      <c r="E222" s="74"/>
      <c r="F222" s="74"/>
      <c r="G222" s="74"/>
    </row>
    <row r="223">
      <c r="C223" s="74"/>
      <c r="D223" s="74"/>
      <c r="E223" s="74"/>
      <c r="F223" s="74"/>
      <c r="G223" s="74"/>
    </row>
    <row r="224">
      <c r="C224" s="74"/>
      <c r="D224" s="74"/>
      <c r="E224" s="74"/>
      <c r="F224" s="74"/>
      <c r="G224" s="74"/>
    </row>
    <row r="225">
      <c r="C225" s="74"/>
      <c r="D225" s="74"/>
      <c r="E225" s="74"/>
      <c r="F225" s="74"/>
      <c r="G225" s="74"/>
    </row>
    <row r="226">
      <c r="C226" s="74"/>
      <c r="D226" s="74"/>
      <c r="E226" s="74"/>
      <c r="F226" s="73" t="s">
        <v>183</v>
      </c>
      <c r="G226" s="73" t="s">
        <v>186</v>
      </c>
    </row>
    <row r="227">
      <c r="C227" s="74"/>
      <c r="D227" s="74">
        <f>D220</f>
        <v>4604596.35</v>
      </c>
      <c r="E227" s="74"/>
      <c r="F227" s="74">
        <f>F220</f>
        <v>91519179.39</v>
      </c>
      <c r="G227" s="73">
        <v>3202500.0</v>
      </c>
    </row>
    <row r="228">
      <c r="C228" s="74"/>
      <c r="D228" s="74"/>
      <c r="E228" s="74"/>
      <c r="F228" s="74"/>
      <c r="G228" s="74"/>
    </row>
    <row r="229">
      <c r="C229" s="74"/>
      <c r="D229" s="74"/>
      <c r="E229" s="74"/>
      <c r="F229" s="74"/>
      <c r="G229" s="74"/>
    </row>
    <row r="230">
      <c r="C230" s="74"/>
      <c r="D230" s="74"/>
      <c r="E230" s="74"/>
      <c r="F230" s="74"/>
      <c r="G230" s="74"/>
    </row>
    <row r="231">
      <c r="C231" s="74"/>
      <c r="D231" s="74"/>
      <c r="E231" s="74"/>
      <c r="F231" s="74"/>
      <c r="G231" s="74"/>
    </row>
    <row r="232">
      <c r="C232" s="74"/>
      <c r="D232" s="74"/>
      <c r="E232" s="74"/>
      <c r="F232" s="74"/>
      <c r="G232" s="74"/>
    </row>
    <row r="233">
      <c r="C233" s="74"/>
      <c r="D233" s="74"/>
      <c r="E233" s="74"/>
      <c r="F233" s="73" t="s">
        <v>183</v>
      </c>
      <c r="G233" s="73" t="s">
        <v>186</v>
      </c>
    </row>
    <row r="234">
      <c r="C234" s="73" t="s">
        <v>236</v>
      </c>
      <c r="D234" s="74">
        <f>D227+H22</f>
        <v>6747096.35</v>
      </c>
      <c r="E234" s="74"/>
      <c r="F234" s="74">
        <f>F227-2489994</f>
        <v>89029185.39</v>
      </c>
      <c r="G234" s="73">
        <v>3600000.0</v>
      </c>
    </row>
    <row r="235">
      <c r="C235" s="73" t="s">
        <v>232</v>
      </c>
      <c r="D235" s="73" t="s">
        <v>237</v>
      </c>
      <c r="E235" s="74"/>
      <c r="F235" s="74"/>
      <c r="G235" s="74"/>
    </row>
    <row r="236">
      <c r="C236" s="74"/>
      <c r="D236" s="74"/>
      <c r="E236" s="74"/>
      <c r="F236" s="74"/>
      <c r="G236" s="74"/>
    </row>
    <row r="237">
      <c r="C237" s="74"/>
      <c r="D237" s="74"/>
      <c r="E237" s="74"/>
      <c r="F237" s="74"/>
      <c r="G237" s="74"/>
    </row>
    <row r="238">
      <c r="C238" s="74"/>
      <c r="D238" s="74"/>
      <c r="E238" s="74"/>
      <c r="F238" s="74"/>
      <c r="G238" s="74"/>
    </row>
    <row r="239">
      <c r="C239" s="74"/>
      <c r="D239" s="74"/>
      <c r="E239" s="74"/>
      <c r="F239" s="74"/>
      <c r="G239" s="74"/>
    </row>
    <row r="240">
      <c r="C240" s="74"/>
      <c r="D240" s="74"/>
      <c r="E240" s="74"/>
      <c r="F240" s="73" t="s">
        <v>183</v>
      </c>
      <c r="G240" s="73" t="s">
        <v>186</v>
      </c>
    </row>
    <row r="241">
      <c r="C241" s="75"/>
      <c r="D241" s="75">
        <f>D234</f>
        <v>6747096.35</v>
      </c>
      <c r="E241" s="75"/>
      <c r="F241" s="75">
        <f>91531010-8000000-2659617.98</f>
        <v>80871392.02</v>
      </c>
      <c r="G241" s="76">
        <v>3600000.0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9" width="8.71"/>
    <col customWidth="1" min="10" max="10" width="10.0"/>
    <col customWidth="1" min="11" max="25" width="8.71"/>
    <col customWidth="1" min="26" max="26" width="14.14"/>
    <col customWidth="1" min="28" max="28" width="10.86"/>
    <col customWidth="1" min="29" max="31" width="8.71"/>
    <col customWidth="1" min="32" max="32" width="12.86"/>
    <col customWidth="1" min="33" max="33" width="16.57"/>
    <col customWidth="1" min="34" max="34" width="11.86"/>
    <col customWidth="1" min="35" max="72" width="8.71"/>
  </cols>
  <sheetData>
    <row r="1" ht="15.75" customHeight="1">
      <c r="A1" s="3" t="s">
        <v>150</v>
      </c>
      <c r="B1" s="20" t="s">
        <v>238</v>
      </c>
      <c r="C1" s="20" t="s">
        <v>239</v>
      </c>
      <c r="D1" s="20" t="s">
        <v>240</v>
      </c>
      <c r="E1" s="20" t="s">
        <v>241</v>
      </c>
      <c r="F1" s="20" t="s">
        <v>242</v>
      </c>
      <c r="G1" s="20" t="s">
        <v>243</v>
      </c>
      <c r="H1" s="20" t="s">
        <v>244</v>
      </c>
      <c r="I1" s="20" t="s">
        <v>245</v>
      </c>
      <c r="J1" s="20" t="s">
        <v>246</v>
      </c>
      <c r="K1" s="20" t="s">
        <v>247</v>
      </c>
      <c r="L1" s="20" t="s">
        <v>248</v>
      </c>
      <c r="M1" s="20" t="s">
        <v>249</v>
      </c>
      <c r="N1" s="4" t="s">
        <v>250</v>
      </c>
      <c r="O1" s="4" t="s">
        <v>251</v>
      </c>
      <c r="P1" s="56" t="s">
        <v>252</v>
      </c>
      <c r="Q1" s="56" t="s">
        <v>253</v>
      </c>
      <c r="R1" s="4" t="s">
        <v>254</v>
      </c>
      <c r="S1" s="4" t="s">
        <v>255</v>
      </c>
      <c r="T1" s="4" t="s">
        <v>256</v>
      </c>
      <c r="U1" s="4" t="s">
        <v>257</v>
      </c>
      <c r="V1" s="4" t="s">
        <v>258</v>
      </c>
      <c r="W1" s="4" t="s">
        <v>259</v>
      </c>
      <c r="X1" s="4" t="s">
        <v>260</v>
      </c>
      <c r="Y1" s="4" t="s">
        <v>261</v>
      </c>
      <c r="Z1" s="20" t="s">
        <v>262</v>
      </c>
      <c r="AA1" s="20" t="s">
        <v>263</v>
      </c>
      <c r="AB1" s="20" t="s">
        <v>264</v>
      </c>
      <c r="AC1" s="20" t="s">
        <v>265</v>
      </c>
      <c r="AD1" s="20" t="s">
        <v>266</v>
      </c>
      <c r="AE1" s="20" t="s">
        <v>267</v>
      </c>
      <c r="AF1" s="20" t="s">
        <v>268</v>
      </c>
      <c r="AG1" s="4" t="s">
        <v>269</v>
      </c>
      <c r="AH1" s="4" t="s">
        <v>270</v>
      </c>
      <c r="AI1" s="4" t="s">
        <v>271</v>
      </c>
      <c r="AJ1" s="4" t="s">
        <v>272</v>
      </c>
    </row>
    <row r="2" ht="15.75" customHeight="1">
      <c r="A2" s="61">
        <v>46104.0</v>
      </c>
      <c r="B2" s="4">
        <v>68.0</v>
      </c>
      <c r="C2" s="4">
        <v>69.95</v>
      </c>
      <c r="D2" s="4">
        <v>42.56</v>
      </c>
      <c r="E2" s="4">
        <v>72.86</v>
      </c>
      <c r="F2" s="4">
        <v>43.7</v>
      </c>
      <c r="G2" s="4"/>
      <c r="H2" s="4"/>
      <c r="I2" s="4"/>
      <c r="J2" s="4"/>
      <c r="K2" s="4"/>
      <c r="L2" s="4"/>
      <c r="M2" s="4"/>
      <c r="N2" s="4">
        <v>20.31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2">
        <f>'stock TW'!B2/parameters!I2</f>
        <v>50.76538582</v>
      </c>
      <c r="AB2" s="2">
        <f>'stock TW'!E2/parameters!I2</f>
        <v>3.795688847</v>
      </c>
      <c r="AF2" s="2">
        <f>'stock TW'!H2/parameters!I2</f>
        <v>8.934707904</v>
      </c>
      <c r="AG2" s="2">
        <f>'stock TW'!I2/parameters!I2</f>
        <v>2.21180881</v>
      </c>
      <c r="AH2" s="2">
        <f>'stock TW'!J2/parameters!I2</f>
        <v>10.29365823</v>
      </c>
    </row>
    <row r="3" ht="15.75" customHeight="1">
      <c r="A3" s="61">
        <v>46105.0</v>
      </c>
      <c r="B3" s="4">
        <v>66.07</v>
      </c>
      <c r="C3" s="4">
        <v>71.56</v>
      </c>
      <c r="D3" s="4">
        <v>43.37</v>
      </c>
      <c r="E3" s="4">
        <v>76.82</v>
      </c>
      <c r="F3" s="4">
        <v>45.94</v>
      </c>
      <c r="G3" s="4"/>
      <c r="H3" s="4"/>
      <c r="I3" s="4"/>
      <c r="J3" s="4"/>
      <c r="K3" s="4"/>
      <c r="L3" s="4"/>
      <c r="M3" s="4"/>
      <c r="N3" s="4">
        <v>17.92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2">
        <f>'stock TW'!B3/parameters!I3</f>
        <v>51.20101138</v>
      </c>
      <c r="AB3" s="2">
        <f>'stock TW'!E3/parameters!I3</f>
        <v>3.824273072</v>
      </c>
      <c r="AF3" s="2">
        <f>'stock TW'!H3/parameters!I3</f>
        <v>8.802149178</v>
      </c>
      <c r="AG3" s="2">
        <f>'stock TW'!I3/parameters!I3</f>
        <v>2.041719343</v>
      </c>
      <c r="AH3" s="2">
        <f>'stock TW'!J3/parameters!I3</f>
        <v>10.50884956</v>
      </c>
    </row>
    <row r="4" ht="15.75" customHeight="1">
      <c r="A4" s="61">
        <v>46106.0</v>
      </c>
      <c r="B4" s="4">
        <v>72.88</v>
      </c>
      <c r="C4" s="4">
        <v>71.75</v>
      </c>
      <c r="D4" s="4">
        <v>44.67</v>
      </c>
      <c r="E4" s="4">
        <v>76.62</v>
      </c>
      <c r="F4" s="4">
        <v>46.59</v>
      </c>
      <c r="G4" s="4"/>
      <c r="H4" s="4"/>
      <c r="I4" s="4"/>
      <c r="J4" s="4"/>
      <c r="K4" s="4"/>
      <c r="L4" s="4"/>
      <c r="M4" s="4"/>
      <c r="N4" s="4">
        <v>20.55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">
        <f>'stock TW'!B4/parameters!I4</f>
        <v>51.37963844</v>
      </c>
      <c r="AB4" s="2">
        <f>'stock TW'!E4/parameters!I4</f>
        <v>4.012052014</v>
      </c>
      <c r="AF4" s="2">
        <f>'stock TW'!H4/parameters!I4</f>
        <v>9.150015858</v>
      </c>
      <c r="AG4" s="2">
        <f>'stock TW'!I4/parameters!I4</f>
        <v>2.156676181</v>
      </c>
      <c r="AH4" s="2">
        <f>'stock TW'!J4/parameters!I4</f>
        <v>11.16397082</v>
      </c>
    </row>
    <row r="5" ht="15.75" customHeight="1">
      <c r="A5" s="61">
        <v>46107.0</v>
      </c>
      <c r="B5" s="4">
        <v>65.94</v>
      </c>
      <c r="C5" s="4">
        <v>63.86</v>
      </c>
      <c r="D5" s="4">
        <v>44.33</v>
      </c>
      <c r="E5" s="4">
        <v>73.69</v>
      </c>
      <c r="F5" s="4">
        <v>46.83</v>
      </c>
      <c r="G5" s="4"/>
      <c r="H5" s="4"/>
      <c r="I5" s="4"/>
      <c r="J5" s="4"/>
      <c r="K5" s="4"/>
      <c r="L5" s="4"/>
      <c r="M5" s="4"/>
      <c r="N5" s="4">
        <v>19.23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2">
        <f>'stock TW'!B5/parameters!I5</f>
        <v>50.50825921</v>
      </c>
      <c r="AB5" s="2">
        <f>'stock TW'!E5/parameters!I5</f>
        <v>3.970775095</v>
      </c>
      <c r="AF5" s="2">
        <f>'stock TW'!H5/parameters!I5</f>
        <v>9.14866582</v>
      </c>
      <c r="AG5" s="2">
        <f>'stock TW'!I5/parameters!I5</f>
        <v>2.372935197</v>
      </c>
      <c r="AH5" s="2">
        <f>'stock TW'!J5/parameters!I5</f>
        <v>11.40406607</v>
      </c>
    </row>
    <row r="6" ht="15.75" customHeight="1">
      <c r="A6" s="61">
        <v>46108.0</v>
      </c>
      <c r="B6" s="4">
        <v>60.93</v>
      </c>
      <c r="C6" s="4">
        <v>64.32</v>
      </c>
      <c r="D6" s="4">
        <v>45.15</v>
      </c>
      <c r="E6" s="4">
        <v>75.65</v>
      </c>
      <c r="F6" s="4">
        <v>47.65</v>
      </c>
      <c r="G6" s="4"/>
      <c r="H6" s="4"/>
      <c r="I6" s="4"/>
      <c r="K6" s="4"/>
      <c r="L6" s="4"/>
      <c r="M6" s="4"/>
      <c r="N6" s="4">
        <v>17.52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">
        <f>'stock TW'!B6/parameters!I6</f>
        <v>50.34942821</v>
      </c>
      <c r="AB6" s="2">
        <f>'stock TW'!E6/parameters!I6</f>
        <v>4.113722999</v>
      </c>
      <c r="AF6" s="2">
        <f>'stock TW'!H6/parameters!I6</f>
        <v>8.846886912</v>
      </c>
      <c r="AG6" s="2">
        <f>'stock TW'!I6/parameters!I6</f>
        <v>2.242693774</v>
      </c>
      <c r="AH6" s="2">
        <f>'stock TW'!J6/parameters!I6</f>
        <v>11.22935197</v>
      </c>
    </row>
    <row r="7" ht="15.75" customHeight="1">
      <c r="A7" s="77">
        <v>46111.0</v>
      </c>
      <c r="B7" s="21"/>
      <c r="C7" s="21"/>
      <c r="D7" s="16">
        <v>44.23</v>
      </c>
      <c r="E7" s="16">
        <v>76.55</v>
      </c>
      <c r="F7" s="16">
        <v>46.21</v>
      </c>
      <c r="G7" s="16">
        <v>19.59</v>
      </c>
      <c r="H7" s="16"/>
      <c r="I7" s="16">
        <v>80.92</v>
      </c>
      <c r="J7" s="16"/>
      <c r="K7" s="16"/>
      <c r="L7" s="16"/>
      <c r="M7" s="16"/>
      <c r="N7" s="16">
        <v>16.35</v>
      </c>
      <c r="O7" s="16">
        <v>32.21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21"/>
      <c r="AA7" s="21">
        <f>'stock TW'!C7/parameters!I7</f>
        <v>3.227848101</v>
      </c>
      <c r="AB7" s="21">
        <f>'stock TW'!E7/parameters!I7</f>
        <v>3.971518987</v>
      </c>
      <c r="AC7" s="21"/>
      <c r="AD7" s="21"/>
      <c r="AE7" s="21"/>
      <c r="AF7" s="21">
        <f>'stock TW'!H7/parameters!I7</f>
        <v>8.607594937</v>
      </c>
      <c r="AG7" s="21">
        <f>'stock TW'!I7/parameters!I7</f>
        <v>2.110759494</v>
      </c>
      <c r="AH7" s="21">
        <f>'stock TW'!J7/parameters!I7</f>
        <v>11.18670886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</row>
    <row r="8" ht="15.75" customHeight="1">
      <c r="A8" s="61">
        <v>46112.0</v>
      </c>
      <c r="D8" s="4">
        <v>42.44</v>
      </c>
      <c r="E8" s="4">
        <v>75.46</v>
      </c>
      <c r="F8" s="4">
        <v>45.18</v>
      </c>
      <c r="G8" s="4">
        <v>19.3</v>
      </c>
      <c r="H8" s="4"/>
      <c r="I8" s="4">
        <v>80.94</v>
      </c>
      <c r="J8" s="4"/>
      <c r="K8" s="4"/>
      <c r="L8" s="4"/>
      <c r="M8" s="4"/>
      <c r="N8" s="4">
        <v>18.56</v>
      </c>
      <c r="O8" s="4">
        <v>33.85</v>
      </c>
      <c r="P8" s="4"/>
      <c r="Q8" s="4"/>
      <c r="R8" s="4"/>
      <c r="S8" s="4"/>
      <c r="T8" s="4"/>
      <c r="U8" s="4"/>
      <c r="V8" s="4"/>
      <c r="W8" s="4"/>
      <c r="X8" s="4"/>
      <c r="Y8" s="4"/>
      <c r="AA8" s="2">
        <f>'stock TW'!C8/parameters!I8</f>
        <v>3.120746954</v>
      </c>
      <c r="AB8" s="2">
        <f>'stock TW'!E8/parameters!I8</f>
        <v>3.73476816</v>
      </c>
      <c r="AF8" s="2">
        <f>'stock TW'!H8/parameters!I8</f>
        <v>8.26080076</v>
      </c>
      <c r="AG8" s="2">
        <f>'stock TW'!I8/parameters!I8</f>
        <v>2.003481564</v>
      </c>
      <c r="AH8" s="2">
        <f>'stock TW'!J8/parameters!I8</f>
        <v>10.39721475</v>
      </c>
    </row>
    <row r="9" ht="15.75" customHeight="1">
      <c r="A9" s="61">
        <v>46113.0</v>
      </c>
      <c r="D9" s="4">
        <v>40.86</v>
      </c>
      <c r="E9" s="4">
        <v>74.56</v>
      </c>
      <c r="F9" s="4">
        <v>43.5</v>
      </c>
      <c r="G9" s="4">
        <v>19.02</v>
      </c>
      <c r="H9" s="4"/>
      <c r="I9" s="4">
        <v>81.82</v>
      </c>
      <c r="J9" s="4"/>
      <c r="K9" s="4"/>
      <c r="L9" s="4"/>
      <c r="M9" s="4"/>
      <c r="N9" s="4">
        <v>20.24</v>
      </c>
      <c r="O9" s="4">
        <v>33.85</v>
      </c>
      <c r="P9" s="4"/>
      <c r="Q9" s="4"/>
      <c r="R9" s="4"/>
      <c r="S9" s="4"/>
      <c r="T9" s="4"/>
      <c r="U9" s="4"/>
      <c r="V9" s="4"/>
      <c r="W9" s="4"/>
      <c r="X9" s="4"/>
      <c r="Y9" s="4"/>
      <c r="AA9" s="2">
        <f>'stock TW'!C9/parameters!I9</f>
        <v>3.422053232</v>
      </c>
      <c r="AB9" s="2">
        <f>'stock TW'!E9/parameters!I9</f>
        <v>3.897338403</v>
      </c>
      <c r="AF9" s="2">
        <f>'stock TW'!H9/parameters!I9</f>
        <v>8.8878327</v>
      </c>
      <c r="AG9" s="2">
        <f>'stock TW'!I9/parameters!I9</f>
        <v>2.043726236</v>
      </c>
      <c r="AH9" s="2">
        <f>'stock TW'!J9/parameters!I9</f>
        <v>11.43852978</v>
      </c>
    </row>
    <row r="10" ht="15.75" customHeight="1">
      <c r="A10" s="61">
        <v>46114.0</v>
      </c>
      <c r="D10" s="4">
        <v>40.45</v>
      </c>
      <c r="E10" s="4">
        <v>75.47</v>
      </c>
      <c r="F10" s="4">
        <v>43.45</v>
      </c>
      <c r="G10" s="4">
        <v>18.93</v>
      </c>
      <c r="H10" s="4"/>
      <c r="I10" s="4">
        <v>83.21</v>
      </c>
      <c r="J10" s="4"/>
      <c r="K10" s="4"/>
      <c r="L10" s="4"/>
      <c r="M10" s="4"/>
      <c r="N10" s="4">
        <v>23.99</v>
      </c>
      <c r="O10" s="4">
        <v>32.09</v>
      </c>
      <c r="P10" s="4"/>
      <c r="Q10" s="4"/>
      <c r="R10" s="4"/>
      <c r="S10" s="4"/>
      <c r="T10" s="4"/>
      <c r="U10" s="4"/>
      <c r="V10" s="4"/>
      <c r="W10" s="4"/>
      <c r="X10" s="4"/>
      <c r="Y10" s="4"/>
      <c r="AA10" s="2">
        <f>'stock TW'!C10/parameters!I10</f>
        <v>3.32488917</v>
      </c>
      <c r="AB10" s="2">
        <f>'stock TW'!E10/parameters!I10</f>
        <v>3.974034199</v>
      </c>
      <c r="AF10" s="2">
        <f>'stock TW'!H10/parameters!I10</f>
        <v>8.201393287</v>
      </c>
      <c r="AG10" s="2">
        <f>'stock TW'!I10/parameters!I10</f>
        <v>2.089930336</v>
      </c>
      <c r="AH10" s="2">
        <f>'stock TW'!J10/parameters!I10</f>
        <v>11.43128562</v>
      </c>
    </row>
    <row r="11" ht="15.75" customHeight="1">
      <c r="A11" s="61">
        <v>46118.0</v>
      </c>
      <c r="D11" s="4">
        <v>40.36</v>
      </c>
      <c r="E11" s="4">
        <v>75.81</v>
      </c>
      <c r="F11" s="4">
        <v>43.67</v>
      </c>
      <c r="G11" s="4">
        <v>18.96</v>
      </c>
      <c r="H11" s="4"/>
      <c r="I11" s="4">
        <v>80.45</v>
      </c>
      <c r="J11" s="4"/>
      <c r="K11" s="4"/>
      <c r="L11" s="4"/>
      <c r="M11" s="4"/>
      <c r="N11" s="4">
        <v>22.92</v>
      </c>
      <c r="O11" s="4">
        <v>32.62</v>
      </c>
      <c r="P11" s="4"/>
      <c r="Q11" s="4"/>
      <c r="R11" s="4"/>
      <c r="S11" s="4"/>
      <c r="T11" s="4"/>
      <c r="U11" s="4"/>
      <c r="V11" s="4"/>
      <c r="W11" s="4"/>
      <c r="X11" s="4"/>
      <c r="Y11" s="4"/>
      <c r="AA11" s="2">
        <f>'stock TW'!C10/parameters!I10</f>
        <v>3.32488917</v>
      </c>
      <c r="AB11" s="2">
        <f>'stock TW'!E10/parameters!I10</f>
        <v>3.974034199</v>
      </c>
      <c r="AF11" s="2">
        <f>'stock TW'!H10/parameters!I10</f>
        <v>8.201393287</v>
      </c>
      <c r="AG11" s="2">
        <f>'stock TW'!I10/parameters!I10</f>
        <v>2.089930336</v>
      </c>
      <c r="AH11" s="2">
        <f>'stock TW'!J10/parameters!I10</f>
        <v>11.43128562</v>
      </c>
      <c r="AK11" s="4" t="s">
        <v>273</v>
      </c>
    </row>
    <row r="12" ht="15.75" customHeight="1">
      <c r="A12" s="61">
        <v>46119.0</v>
      </c>
      <c r="D12" s="4">
        <v>40.36</v>
      </c>
      <c r="E12" s="4">
        <v>76.88</v>
      </c>
      <c r="F12" s="4">
        <v>43.33</v>
      </c>
      <c r="G12" s="4">
        <v>19.12</v>
      </c>
      <c r="H12" s="4"/>
      <c r="I12" s="4">
        <v>78.52</v>
      </c>
      <c r="J12" s="4"/>
      <c r="K12" s="4"/>
      <c r="L12" s="4"/>
      <c r="M12" s="4"/>
      <c r="N12" s="4">
        <v>22.73</v>
      </c>
      <c r="O12" s="4">
        <v>31.54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11"/>
      <c r="AA12" s="2">
        <f>'stock TW'!C12/parameters!I12</f>
        <v>3.284637282</v>
      </c>
      <c r="AB12" s="2">
        <f>'stock TW'!E12/parameters!I12</f>
        <v>4.316951857</v>
      </c>
      <c r="AE12" s="20"/>
      <c r="AF12" s="2">
        <f>'stock TW'!H12/parameters!I12</f>
        <v>8.383645635</v>
      </c>
      <c r="AG12" s="2">
        <f>'stock TW'!I12/parameters!I12</f>
        <v>2.027090437</v>
      </c>
      <c r="AH12" s="2">
        <f>'stock TW'!J12/parameters!I12</f>
        <v>11.01135546</v>
      </c>
      <c r="AK12" s="20" t="s">
        <v>274</v>
      </c>
      <c r="AL12" s="11"/>
    </row>
    <row r="13" ht="15.75" customHeight="1">
      <c r="A13" s="61">
        <v>46120.0</v>
      </c>
      <c r="D13" s="4">
        <v>39.17</v>
      </c>
      <c r="E13" s="4">
        <v>74.88</v>
      </c>
      <c r="F13" s="4">
        <v>43.33</v>
      </c>
      <c r="G13" s="4">
        <v>19.08</v>
      </c>
      <c r="H13" s="4"/>
      <c r="I13" s="4">
        <v>82.48</v>
      </c>
      <c r="J13" s="4"/>
      <c r="K13" s="4"/>
      <c r="L13" s="4"/>
      <c r="M13" s="4"/>
      <c r="N13" s="4">
        <v>23.39</v>
      </c>
      <c r="O13" s="4">
        <v>33.02</v>
      </c>
      <c r="P13" s="4"/>
      <c r="Q13" s="4"/>
      <c r="R13" s="4"/>
      <c r="S13" s="4"/>
      <c r="T13" s="4"/>
      <c r="U13" s="4"/>
      <c r="V13" s="4"/>
      <c r="W13" s="4"/>
      <c r="X13" s="4"/>
      <c r="Y13" s="4"/>
      <c r="AA13" s="2">
        <f>'stock TW'!C13/parameters!I13</f>
        <v>3.309171131</v>
      </c>
      <c r="AB13" s="2">
        <f>'stock TW'!E13/parameters!I13</f>
        <v>4.585565711</v>
      </c>
      <c r="AF13" s="2">
        <f>'stock TW'!H13/parameters!I13</f>
        <v>8.82445635</v>
      </c>
      <c r="AG13" s="2">
        <f>'stock TW'!I13/parameters!I13</f>
        <v>2.243933186</v>
      </c>
      <c r="AH13" s="2">
        <f>'stock TW'!J12/parameters!I13</f>
        <v>11.09360227</v>
      </c>
    </row>
    <row r="14" ht="15.75" customHeight="1">
      <c r="A14" s="61">
        <v>46121.0</v>
      </c>
      <c r="D14" s="4">
        <v>38.21</v>
      </c>
      <c r="E14" s="4">
        <v>72.78</v>
      </c>
      <c r="F14" s="4">
        <v>42.93</v>
      </c>
      <c r="G14" s="4">
        <v>19.09</v>
      </c>
      <c r="H14" s="4"/>
      <c r="I14" s="4">
        <v>82.17</v>
      </c>
      <c r="J14" s="4"/>
      <c r="K14" s="4"/>
      <c r="L14" s="4"/>
      <c r="M14" s="4"/>
      <c r="N14" s="4">
        <v>21.97</v>
      </c>
      <c r="O14" s="4">
        <v>36.15</v>
      </c>
      <c r="P14" s="4"/>
      <c r="Q14" s="4"/>
      <c r="R14" s="4"/>
      <c r="S14" s="4"/>
      <c r="T14" s="4"/>
      <c r="U14" s="4"/>
      <c r="V14" s="4"/>
      <c r="W14" s="4"/>
      <c r="X14" s="4"/>
      <c r="Y14" s="4"/>
      <c r="AA14" s="2">
        <f>'stock TW'!C14/parameters!I14</f>
        <v>3.14893617</v>
      </c>
      <c r="AB14" s="2">
        <f>'stock TW'!E14/parameters!I14</f>
        <v>4.491725768</v>
      </c>
      <c r="AF14" s="2">
        <f>'stock TW'!H14/parameters!I14</f>
        <v>8.668242711</v>
      </c>
      <c r="AG14" s="2">
        <f>'stock TW'!I14/parameters!I14</f>
        <v>2.468085106</v>
      </c>
      <c r="AH14" s="2">
        <f>'stock TW'!J14/parameters!I14</f>
        <v>12.35618597</v>
      </c>
    </row>
    <row r="15" ht="15.75" customHeight="1">
      <c r="A15" s="61">
        <v>46122.0</v>
      </c>
      <c r="D15" s="4">
        <v>37.89</v>
      </c>
      <c r="E15" s="4">
        <v>73.75</v>
      </c>
      <c r="F15" s="4">
        <v>42.84</v>
      </c>
      <c r="G15" s="4">
        <v>19.19</v>
      </c>
      <c r="H15" s="4"/>
      <c r="I15" s="4">
        <v>82.12</v>
      </c>
      <c r="J15" s="4"/>
      <c r="K15" s="4"/>
      <c r="L15" s="4"/>
      <c r="M15" s="4"/>
      <c r="N15" s="4">
        <v>23.57</v>
      </c>
      <c r="O15" s="4">
        <v>37.71</v>
      </c>
      <c r="P15" s="4"/>
      <c r="Q15" s="4"/>
      <c r="R15" s="4"/>
      <c r="S15" s="4"/>
      <c r="T15" s="4"/>
      <c r="U15" s="4"/>
      <c r="V15" s="4"/>
      <c r="W15" s="4"/>
      <c r="X15" s="4"/>
      <c r="Y15" s="4"/>
      <c r="AA15" s="2">
        <f>'stock TW'!C15/parameters!I15</f>
        <v>3.102457708</v>
      </c>
      <c r="AB15" s="2">
        <f>'stock TW'!E15/parameters!I15</f>
        <v>4.612192786</v>
      </c>
      <c r="AF15" s="2">
        <f>'stock TW'!H15/parameters!I15</f>
        <v>8.857325247</v>
      </c>
      <c r="AG15" s="2">
        <f>'stock TW'!I15/parameters!I15</f>
        <v>2.483242898</v>
      </c>
      <c r="AH15" s="2">
        <f>'stock TW'!J15/parameters!I15</f>
        <v>12.54388765</v>
      </c>
    </row>
    <row r="16" ht="15.75" customHeight="1">
      <c r="A16" s="78">
        <v>46125.0</v>
      </c>
      <c r="B16" s="79"/>
      <c r="C16" s="79"/>
      <c r="D16" s="79"/>
      <c r="E16" s="80">
        <v>74.38</v>
      </c>
      <c r="F16" s="80">
        <v>41.9</v>
      </c>
      <c r="G16" s="80">
        <v>18.85</v>
      </c>
      <c r="H16" s="80">
        <v>72.89</v>
      </c>
      <c r="I16" s="80">
        <v>87.63</v>
      </c>
      <c r="J16" s="80"/>
      <c r="K16" s="80"/>
      <c r="L16" s="80"/>
      <c r="M16" s="80"/>
      <c r="N16" s="80">
        <v>24.41</v>
      </c>
      <c r="O16" s="80">
        <v>37.81</v>
      </c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79"/>
      <c r="AA16" s="79">
        <f>'stock TW'!C16/parameters!I16</f>
        <v>3.391179748</v>
      </c>
      <c r="AB16" s="79">
        <f>'stock TW'!E16/parameters!I16</f>
        <v>4.410125776</v>
      </c>
      <c r="AC16" s="79">
        <f>'stock TW'!D16/parameters!I16</f>
        <v>9.855118612</v>
      </c>
      <c r="AD16" s="79"/>
      <c r="AE16" s="79"/>
      <c r="AF16" s="79"/>
      <c r="AG16" s="79">
        <f>'stock TW'!I16/parameters!I16</f>
        <v>2.642891259</v>
      </c>
      <c r="AH16" s="79">
        <f>'stock TW'!J16/parameters!I16</f>
        <v>13.29406146</v>
      </c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</row>
    <row r="17" ht="15.75" customHeight="1">
      <c r="A17" s="61">
        <v>46126.0</v>
      </c>
      <c r="E17" s="4">
        <v>73.62</v>
      </c>
      <c r="F17" s="4">
        <v>40.69</v>
      </c>
      <c r="G17" s="4">
        <v>18.73</v>
      </c>
      <c r="H17" s="4">
        <v>79.91</v>
      </c>
      <c r="I17" s="4">
        <v>88.93</v>
      </c>
      <c r="J17" s="4"/>
      <c r="K17" s="4"/>
      <c r="L17" s="4"/>
      <c r="M17" s="4"/>
      <c r="N17" s="4">
        <v>23.67</v>
      </c>
      <c r="O17" s="4">
        <v>39.45</v>
      </c>
      <c r="P17" s="4"/>
      <c r="Q17" s="4"/>
      <c r="R17" s="4"/>
      <c r="S17" s="4"/>
      <c r="T17" s="4"/>
      <c r="U17" s="4"/>
      <c r="V17" s="4"/>
      <c r="W17" s="4"/>
      <c r="X17" s="4"/>
      <c r="Y17" s="4"/>
      <c r="AA17" s="2">
        <f>'stock TW'!C17/parameters!I17</f>
        <v>3.238546603</v>
      </c>
      <c r="AB17" s="2">
        <f>'stock TW'!E17/parameters!I17</f>
        <v>4.29699842</v>
      </c>
      <c r="AC17" s="2">
        <f>'stock TW'!D17/parameters!I17</f>
        <v>9.936808847</v>
      </c>
      <c r="AG17" s="2">
        <f>'stock TW'!I17/parameters!I17</f>
        <v>2.394944708</v>
      </c>
      <c r="AH17" s="2">
        <f>'stock TW'!J17/parameters!I17</f>
        <v>13.39652449</v>
      </c>
    </row>
    <row r="18" ht="15.75" customHeight="1">
      <c r="A18" s="61">
        <v>46127.0</v>
      </c>
      <c r="E18" s="4">
        <v>73.35</v>
      </c>
      <c r="F18" s="4">
        <v>41.22</v>
      </c>
      <c r="G18" s="4">
        <v>18.71</v>
      </c>
      <c r="H18" s="4">
        <v>80.64</v>
      </c>
      <c r="I18" s="4">
        <v>87.62</v>
      </c>
      <c r="J18" s="4"/>
      <c r="K18" s="4"/>
      <c r="L18" s="4"/>
      <c r="M18" s="4"/>
      <c r="N18" s="4">
        <v>23.88</v>
      </c>
      <c r="O18" s="4">
        <v>37.74</v>
      </c>
      <c r="P18" s="4"/>
      <c r="Q18" s="4"/>
      <c r="R18" s="4"/>
      <c r="S18" s="4"/>
      <c r="T18" s="4"/>
      <c r="U18" s="4"/>
      <c r="V18" s="4"/>
      <c r="W18" s="4"/>
      <c r="X18" s="4"/>
      <c r="Y18" s="4"/>
      <c r="AA18" s="2">
        <f>'stock TW'!C18/parameters!I18</f>
        <v>3.264522324</v>
      </c>
      <c r="AB18" s="2">
        <f>'stock TW'!E18/parameters!I18</f>
        <v>4.28868619</v>
      </c>
      <c r="AC18" s="2">
        <f>'stock TW'!D18/parameters!I18</f>
        <v>11.05776924</v>
      </c>
      <c r="AG18" s="2">
        <f>'stock TW'!I18/parameters!I18</f>
        <v>2.403584574</v>
      </c>
      <c r="AH18" s="2">
        <f>'stock TW'!J18/parameters!I18</f>
        <v>14.29028645</v>
      </c>
    </row>
    <row r="19" ht="15.75" customHeight="1">
      <c r="A19" s="61">
        <v>46128.0</v>
      </c>
      <c r="E19" s="4">
        <v>74.53</v>
      </c>
      <c r="F19" s="4">
        <v>42.27</v>
      </c>
      <c r="G19" s="4">
        <v>18.87</v>
      </c>
      <c r="H19" s="4">
        <v>80.03</v>
      </c>
      <c r="I19" s="4">
        <v>95.31</v>
      </c>
      <c r="J19" s="4"/>
      <c r="K19" s="4"/>
      <c r="L19" s="4"/>
      <c r="M19" s="4"/>
      <c r="N19" s="4">
        <v>27.28</v>
      </c>
      <c r="O19" s="4">
        <v>37.97</v>
      </c>
      <c r="P19" s="4"/>
      <c r="Q19" s="4"/>
      <c r="R19" s="4"/>
      <c r="S19" s="4"/>
      <c r="T19" s="4"/>
      <c r="U19" s="4"/>
      <c r="V19" s="4"/>
      <c r="W19" s="4"/>
      <c r="X19" s="4"/>
      <c r="Y19" s="4"/>
      <c r="AA19" s="2">
        <f>'stock TW'!C19/parameters!I19</f>
        <v>3.257904028</v>
      </c>
      <c r="AB19" s="2">
        <f>'stock TW'!E19/parameters!I19</f>
        <v>4.525758305</v>
      </c>
      <c r="AC19" s="2">
        <f>'stock TW'!D19/parameters!I19</f>
        <v>10.94527363</v>
      </c>
      <c r="AG19" s="2">
        <f>'stock TW'!I19/parameters!I19</f>
        <v>2.41694752</v>
      </c>
      <c r="AH19" s="2">
        <f>'stock TW'!J19/parameters!I19</f>
        <v>14.44390948</v>
      </c>
    </row>
    <row r="20" ht="15.75" customHeight="1">
      <c r="A20" s="61">
        <v>46129.0</v>
      </c>
      <c r="E20" s="4">
        <v>70.62</v>
      </c>
      <c r="F20" s="4">
        <v>41.71</v>
      </c>
      <c r="G20" s="4">
        <v>18.86</v>
      </c>
      <c r="H20" s="4">
        <v>80.02</v>
      </c>
      <c r="I20" s="4">
        <v>88.8</v>
      </c>
      <c r="J20" s="4"/>
      <c r="K20" s="4"/>
      <c r="L20" s="4"/>
      <c r="M20" s="4"/>
      <c r="N20" s="4">
        <v>27.58</v>
      </c>
      <c r="O20" s="4">
        <v>39.72</v>
      </c>
      <c r="P20" s="4"/>
      <c r="Q20" s="4"/>
      <c r="R20" s="4"/>
      <c r="S20" s="4"/>
      <c r="T20" s="4"/>
      <c r="U20" s="4"/>
      <c r="V20" s="4"/>
      <c r="W20" s="4"/>
      <c r="X20" s="4"/>
      <c r="Y20" s="4"/>
      <c r="AA20" s="2">
        <f>'stock TW'!C20/parameters!I20</f>
        <v>3.18152662</v>
      </c>
      <c r="AB20" s="2">
        <f>'stock TW'!E20/parameters!I20</f>
        <v>4.762668377</v>
      </c>
      <c r="AC20" s="2">
        <f>'stock TW'!D20/parameters!I20</f>
        <v>11.73829378</v>
      </c>
      <c r="AG20" s="2">
        <f>'stock TW'!I20/parameters!I20</f>
        <v>2.501603592</v>
      </c>
      <c r="AH20" s="2">
        <f>'stock TW'!J20/parameters!I20</f>
        <v>14.17575369</v>
      </c>
    </row>
    <row r="21" ht="15.75" customHeight="1">
      <c r="A21" s="61">
        <v>46132.0</v>
      </c>
      <c r="I21" s="4">
        <v>88.42</v>
      </c>
      <c r="J21" s="4">
        <v>37.1</v>
      </c>
      <c r="K21" s="4">
        <v>52.2</v>
      </c>
      <c r="L21" s="4">
        <v>138.7</v>
      </c>
      <c r="N21" s="4">
        <v>27.52</v>
      </c>
      <c r="O21" s="4">
        <v>40.73</v>
      </c>
      <c r="P21" s="4">
        <v>105.91</v>
      </c>
      <c r="Q21" s="4">
        <v>13.34</v>
      </c>
      <c r="AB21" s="2">
        <f>'stock TW'!E21/parameters!I21</f>
        <v>4.764930114</v>
      </c>
      <c r="AC21" s="2">
        <f>'stock TW'!D21/parameters!I21</f>
        <v>12.16645489</v>
      </c>
      <c r="AD21" s="2">
        <f>'stock TW'!F21/parameters!I21</f>
        <v>2.175984752</v>
      </c>
      <c r="AG21" s="2">
        <f>'stock TW'!I21/parameters!I21</f>
        <v>2.652477764</v>
      </c>
      <c r="AH21" s="2">
        <f>'stock TW'!J21/parameters!I21</f>
        <v>14.66010165</v>
      </c>
    </row>
    <row r="22" ht="15.75" customHeight="1">
      <c r="A22" s="61">
        <v>46133.0</v>
      </c>
      <c r="I22" s="4">
        <v>87.22</v>
      </c>
      <c r="J22" s="4">
        <v>37.82</v>
      </c>
      <c r="K22" s="4">
        <v>52.77</v>
      </c>
      <c r="L22" s="4">
        <v>142.45</v>
      </c>
      <c r="N22" s="4">
        <v>27.82</v>
      </c>
      <c r="O22" s="4">
        <v>41.93</v>
      </c>
      <c r="P22" s="4">
        <v>103.48</v>
      </c>
      <c r="Q22" s="4">
        <v>12.89</v>
      </c>
      <c r="AB22" s="2">
        <f>'stock TW'!E22/parameters!I22</f>
        <v>4.642289348</v>
      </c>
      <c r="AC22" s="2">
        <f>'stock TW'!D22/parameters!I22</f>
        <v>12.08267091</v>
      </c>
      <c r="AD22" s="2">
        <f>'stock TW'!F22/parameters!I22</f>
        <v>2.13672496</v>
      </c>
      <c r="AG22" s="2">
        <f>'stock TW'!I22/parameters!I22</f>
        <v>2.648648649</v>
      </c>
      <c r="AH22" s="2">
        <f>'stock TW'!J22/parameters!I22</f>
        <v>15.00794913</v>
      </c>
    </row>
    <row r="23" ht="15.75" customHeight="1">
      <c r="A23" s="61">
        <v>46134.0</v>
      </c>
      <c r="I23" s="4">
        <v>86.95</v>
      </c>
      <c r="J23" s="4">
        <v>38.47</v>
      </c>
      <c r="K23" s="4">
        <v>54.35</v>
      </c>
      <c r="L23" s="4">
        <v>141.95</v>
      </c>
      <c r="N23" s="4">
        <v>29.94</v>
      </c>
      <c r="O23" s="4">
        <v>48.15</v>
      </c>
      <c r="P23" s="4">
        <v>103.48</v>
      </c>
      <c r="Q23" s="4">
        <v>12.97</v>
      </c>
      <c r="AB23" s="2">
        <f>'stock TW'!E23/parameters!I23</f>
        <v>4.746031746</v>
      </c>
      <c r="AC23" s="2">
        <f>'stock TW'!D23/parameters!I23</f>
        <v>11.53968254</v>
      </c>
      <c r="AD23" s="2">
        <f>'stock TW'!F23/parameters!I23</f>
        <v>2.206349206</v>
      </c>
      <c r="AG23" s="2">
        <f>'stock TW'!I23/parameters!I23</f>
        <v>2.644444444</v>
      </c>
      <c r="AH23" s="2">
        <f>'stock TW'!J23/parameters!I23</f>
        <v>14.76190476</v>
      </c>
    </row>
    <row r="24" ht="15.75" customHeight="1">
      <c r="A24" s="61">
        <v>46135.0</v>
      </c>
      <c r="I24" s="4">
        <v>85.45</v>
      </c>
      <c r="J24" s="4">
        <v>38.01</v>
      </c>
      <c r="K24" s="4">
        <v>54.74</v>
      </c>
      <c r="L24" s="4">
        <v>142.0</v>
      </c>
      <c r="N24" s="4">
        <v>27.56</v>
      </c>
      <c r="O24" s="4">
        <v>46.15</v>
      </c>
      <c r="P24" s="4">
        <v>105.34</v>
      </c>
      <c r="Q24" s="4">
        <v>12.87</v>
      </c>
      <c r="AB24" s="2">
        <f>'stock TW'!E24/parameters!I24</f>
        <v>4.29069031</v>
      </c>
      <c r="AC24" s="2">
        <f>'stock TW'!D24/parameters!I24</f>
        <v>10.56048132</v>
      </c>
      <c r="AD24" s="2">
        <f>'stock TW'!F24/parameters!I24</f>
        <v>2.093096897</v>
      </c>
      <c r="AG24" s="2">
        <f>'stock TW'!I24/parameters!I24</f>
        <v>2.425585814</v>
      </c>
      <c r="AH24" s="2">
        <f>'stock TW'!J24/parameters!I24</f>
        <v>14.70867638</v>
      </c>
    </row>
    <row r="25" ht="15.75" customHeight="1">
      <c r="A25" s="61">
        <v>46136.0</v>
      </c>
      <c r="I25" s="4">
        <v>88.79</v>
      </c>
      <c r="J25" s="4">
        <v>37.35</v>
      </c>
      <c r="K25" s="4">
        <v>56.15</v>
      </c>
      <c r="L25" s="4">
        <v>153.46</v>
      </c>
      <c r="N25" s="4">
        <v>25.53</v>
      </c>
      <c r="O25" s="4">
        <v>49.48</v>
      </c>
      <c r="P25" s="4">
        <v>109.79</v>
      </c>
      <c r="Q25" s="4">
        <v>12.85</v>
      </c>
      <c r="AB25" s="2">
        <f>'stock TW'!E25/parameters!I25</f>
        <v>4.380952381</v>
      </c>
      <c r="AC25" s="2">
        <f>'stock TW'!D25/parameters!I25</f>
        <v>10.0952381</v>
      </c>
      <c r="AD25" s="2">
        <f>'stock TW'!F25/parameters!I25</f>
        <v>2.088888889</v>
      </c>
      <c r="AG25" s="2">
        <f>'stock TW'!I25/parameters!I25</f>
        <v>2.673015873</v>
      </c>
      <c r="AH25" s="2">
        <f>'stock TW'!J25/parameters!I25</f>
        <v>15.74603175</v>
      </c>
    </row>
    <row r="26" ht="15.75" customHeight="1">
      <c r="A26" s="61">
        <v>46139.0</v>
      </c>
      <c r="I26" s="4">
        <v>91.29</v>
      </c>
      <c r="J26" s="4">
        <v>37.99</v>
      </c>
      <c r="K26" s="4">
        <v>55.23</v>
      </c>
      <c r="L26" s="4">
        <v>147.54</v>
      </c>
      <c r="N26" s="4">
        <v>26.2</v>
      </c>
      <c r="O26" s="4">
        <v>49.64</v>
      </c>
      <c r="P26" s="4">
        <v>101.29</v>
      </c>
      <c r="Q26" s="4">
        <v>13.17</v>
      </c>
      <c r="R26" s="4">
        <v>336.54</v>
      </c>
      <c r="AE26" s="2">
        <f>'stock TW'!G26/parameters!I26</f>
        <v>5.924396442</v>
      </c>
      <c r="AG26" s="39">
        <f>'stock TW'!I26/parameters!I26</f>
        <v>2.49364676</v>
      </c>
      <c r="AH26" s="2">
        <f>'stock TW'!J26/parameters!I26</f>
        <v>15.74015248</v>
      </c>
      <c r="AI26" s="2">
        <f>'stock TW'!K26/parameters!I26</f>
        <v>9.371029225</v>
      </c>
    </row>
    <row r="27" ht="15.75" customHeight="1">
      <c r="A27" s="61">
        <v>46140.0</v>
      </c>
      <c r="I27" s="4">
        <v>89.42</v>
      </c>
      <c r="J27" s="4">
        <v>37.56</v>
      </c>
      <c r="K27" s="4">
        <v>55.65</v>
      </c>
      <c r="L27" s="4">
        <v>149.18</v>
      </c>
      <c r="N27" s="4">
        <v>24.58</v>
      </c>
      <c r="O27" s="4">
        <v>47.5</v>
      </c>
      <c r="P27" s="4">
        <v>94.4</v>
      </c>
      <c r="Q27" s="4">
        <v>13.24</v>
      </c>
      <c r="R27" s="4">
        <v>325.31</v>
      </c>
      <c r="AE27" s="2">
        <f>'stock TW'!G27/parameters!I27</f>
        <v>5.590750713</v>
      </c>
      <c r="AG27" s="39">
        <f>'stock TW'!I27/parameters!I27</f>
        <v>2.733607856</v>
      </c>
      <c r="AH27" s="2">
        <f>'stock TW'!J27/parameters!I27</f>
        <v>15.69528033</v>
      </c>
      <c r="AI27" s="2">
        <f>'stock TW'!K27/parameters!I27</f>
        <v>9.534368071</v>
      </c>
    </row>
    <row r="28" ht="15.75" customHeight="1">
      <c r="A28" s="61">
        <v>46141.0</v>
      </c>
      <c r="I28" s="4">
        <v>91.01</v>
      </c>
      <c r="J28" s="4">
        <v>36.0</v>
      </c>
      <c r="K28" s="4">
        <v>55.7</v>
      </c>
      <c r="L28" s="4">
        <v>217.5</v>
      </c>
      <c r="N28" s="4">
        <v>24.79</v>
      </c>
      <c r="O28" s="4">
        <v>47.7</v>
      </c>
      <c r="P28" s="4">
        <v>98.29</v>
      </c>
      <c r="Q28" s="4">
        <v>13.44</v>
      </c>
      <c r="R28" s="4">
        <v>329.95</v>
      </c>
      <c r="AE28" s="2">
        <f>'stock TW'!G28/parameters!I28</f>
        <v>5.356007629</v>
      </c>
      <c r="AG28" s="39">
        <f>'stock TW'!I28/parameters!I28</f>
        <v>3.016528926</v>
      </c>
      <c r="AH28" s="2">
        <f>'stock TW'!J28/parameters!I28</f>
        <v>15.52765416</v>
      </c>
      <c r="AI28" s="2">
        <f>'stock TW'!K28/parameters!I28</f>
        <v>9.806102988</v>
      </c>
    </row>
    <row r="29" ht="15.75" customHeight="1">
      <c r="A29" s="61">
        <v>46142.0</v>
      </c>
      <c r="I29" s="4">
        <v>92.17</v>
      </c>
      <c r="J29" s="4">
        <v>37.54</v>
      </c>
      <c r="K29" s="4">
        <v>56.88</v>
      </c>
      <c r="L29" s="4">
        <v>218.78</v>
      </c>
      <c r="N29" s="4">
        <v>25.35</v>
      </c>
      <c r="O29" s="4">
        <v>53.54</v>
      </c>
      <c r="P29" s="4">
        <v>105.05</v>
      </c>
      <c r="Q29" s="4">
        <v>13.77</v>
      </c>
      <c r="R29" s="4">
        <v>329.59</v>
      </c>
      <c r="AE29" s="2">
        <f>'stock TW'!G29/parameters!I29</f>
        <v>5.303030303</v>
      </c>
      <c r="AG29" s="2">
        <f>'stock TW'!I29/parameters!I29</f>
        <v>3.282828283</v>
      </c>
      <c r="AH29" s="2">
        <f>'stock TW'!J29/parameters!I29</f>
        <v>15.08838384</v>
      </c>
      <c r="AI29" s="2">
        <f>'stock TW'!K29/parameters!I29</f>
        <v>9.864267677</v>
      </c>
    </row>
    <row r="30" ht="15.75" customHeight="1">
      <c r="A30" s="61">
        <v>46143.0</v>
      </c>
      <c r="I30" s="4">
        <v>92.68</v>
      </c>
      <c r="J30" s="4">
        <v>37.07</v>
      </c>
      <c r="K30" s="4">
        <v>56.92</v>
      </c>
      <c r="L30" s="4">
        <v>234.52</v>
      </c>
      <c r="N30" s="4">
        <v>25.62</v>
      </c>
      <c r="O30" s="4">
        <v>52.51</v>
      </c>
      <c r="P30" s="4">
        <v>107.81</v>
      </c>
      <c r="Q30" s="4">
        <v>13.73</v>
      </c>
      <c r="R30" s="4">
        <v>340.94</v>
      </c>
      <c r="AE30" s="2">
        <f>'stock TW'!G29/parameters!I29</f>
        <v>5.303030303</v>
      </c>
      <c r="AG30" s="2">
        <f>'stock TW'!I29/parameters!I29</f>
        <v>3.282828283</v>
      </c>
      <c r="AH30" s="2">
        <f>'stock TW'!J29/parameters!I29</f>
        <v>15.08838384</v>
      </c>
      <c r="AI30" s="2">
        <f>'stock TW'!K29/parameters!I29</f>
        <v>9.864267677</v>
      </c>
      <c r="AK30" s="4" t="s">
        <v>275</v>
      </c>
    </row>
    <row r="31" ht="15.75" customHeight="1">
      <c r="A31" s="61">
        <v>46146.0</v>
      </c>
      <c r="I31" s="4">
        <v>89.75</v>
      </c>
      <c r="J31" s="4">
        <v>37.35</v>
      </c>
      <c r="K31" s="4">
        <v>55.63</v>
      </c>
      <c r="L31" s="4">
        <v>227.16</v>
      </c>
      <c r="N31" s="4">
        <v>25.35</v>
      </c>
      <c r="O31" s="4">
        <v>50.3</v>
      </c>
      <c r="P31" s="4">
        <v>107.1</v>
      </c>
      <c r="Q31" s="4">
        <v>14.25</v>
      </c>
      <c r="R31" s="4">
        <v>349.51</v>
      </c>
      <c r="AF31" s="2">
        <f>'stock TW'!H31/parameters!I30</f>
        <v>10.50884956</v>
      </c>
      <c r="AG31" s="2">
        <f>'stock TW'!I31/parameters!I30</f>
        <v>3.603034134</v>
      </c>
      <c r="AH31" s="2">
        <f>'stock TW'!J31/parameters!I30</f>
        <v>16.59292035</v>
      </c>
      <c r="AI31" s="2">
        <f>'stock TW'!K31/parameters!I30</f>
        <v>10.06637168</v>
      </c>
      <c r="AK31" s="20" t="s">
        <v>274</v>
      </c>
    </row>
    <row r="32" ht="15.75" customHeight="1">
      <c r="A32" s="61">
        <v>46147.0</v>
      </c>
      <c r="I32" s="4">
        <v>92.64</v>
      </c>
      <c r="J32" s="4">
        <v>37.66</v>
      </c>
      <c r="K32" s="4">
        <v>56.0</v>
      </c>
      <c r="L32" s="4">
        <v>238.41</v>
      </c>
      <c r="N32" s="4">
        <v>24.8</v>
      </c>
      <c r="O32" s="4">
        <v>55.01</v>
      </c>
      <c r="P32" s="4">
        <v>112.98</v>
      </c>
      <c r="Q32" s="4">
        <v>15.13</v>
      </c>
      <c r="R32" s="4">
        <v>353.63</v>
      </c>
      <c r="AF32" s="2">
        <f>'stock TW'!H32/parameters!I31</f>
        <v>11.19898766</v>
      </c>
      <c r="AG32" s="2">
        <f>'stock TW'!I32/parameters!I31</f>
        <v>3.954444796</v>
      </c>
      <c r="AH32" s="2">
        <f>'stock TW'!J32/parameters!I31</f>
        <v>16.45049035</v>
      </c>
      <c r="AI32" s="2">
        <f>'stock TW'!K32/parameters!I31</f>
        <v>10.15501424</v>
      </c>
    </row>
    <row r="33" ht="15.75" customHeight="1">
      <c r="A33" s="61">
        <v>46148.0</v>
      </c>
      <c r="I33" s="4">
        <v>93.46</v>
      </c>
      <c r="J33" s="4">
        <v>37.07</v>
      </c>
      <c r="K33" s="4">
        <v>55.16</v>
      </c>
      <c r="L33" s="4">
        <v>244.95</v>
      </c>
      <c r="N33" s="4">
        <v>26.33</v>
      </c>
      <c r="O33" s="4">
        <v>57.07</v>
      </c>
      <c r="P33" s="4">
        <v>119.19</v>
      </c>
      <c r="Q33" s="4">
        <v>14.78</v>
      </c>
      <c r="R33" s="4">
        <v>354.9</v>
      </c>
      <c r="AF33" s="2">
        <f>'stock TW'!H33/parameters!I32</f>
        <v>10.43519695</v>
      </c>
      <c r="AG33" s="2">
        <f>'stock TW'!I33/parameters!I32</f>
        <v>3.573697586</v>
      </c>
      <c r="AH33" s="2">
        <f>'stock TW'!J33/parameters!I32</f>
        <v>16.6454892</v>
      </c>
      <c r="AI33" s="2">
        <f>'stock TW'!K33/parameters!I32</f>
        <v>10.02223634</v>
      </c>
    </row>
    <row r="34" ht="15.75" customHeight="1">
      <c r="A34" s="61">
        <v>46149.0</v>
      </c>
      <c r="I34" s="4">
        <v>91.6</v>
      </c>
      <c r="J34" s="4">
        <v>36.58</v>
      </c>
      <c r="K34" s="4">
        <v>53.0</v>
      </c>
      <c r="L34" s="4">
        <v>242.71</v>
      </c>
      <c r="N34" s="4">
        <v>24.11</v>
      </c>
      <c r="O34" s="4">
        <v>53.22</v>
      </c>
      <c r="P34" s="4">
        <v>121.5</v>
      </c>
      <c r="Q34" s="4">
        <v>14.76</v>
      </c>
      <c r="R34" s="4">
        <v>356.9</v>
      </c>
      <c r="AF34" s="2">
        <f>'stock TW'!H34/parameters!I33</f>
        <v>10.79617834</v>
      </c>
      <c r="AG34" s="2">
        <f>'stock TW'!I34/parameters!I33</f>
        <v>3.439490446</v>
      </c>
      <c r="AH34" s="2">
        <f>'stock TW'!J34/parameters!I33</f>
        <v>17.19745223</v>
      </c>
      <c r="AI34" s="2">
        <f>'stock TW'!K34/parameters!I33</f>
        <v>10.12738854</v>
      </c>
    </row>
    <row r="35" ht="15.75" customHeight="1">
      <c r="A35" s="61">
        <v>46150.0</v>
      </c>
      <c r="I35" s="41">
        <v>91.39</v>
      </c>
      <c r="J35" s="41">
        <v>36.54</v>
      </c>
      <c r="K35" s="41">
        <v>53.27</v>
      </c>
      <c r="L35" s="4">
        <v>253.59</v>
      </c>
      <c r="N35" s="4">
        <v>28.97</v>
      </c>
      <c r="O35" s="22">
        <v>55.19</v>
      </c>
      <c r="P35" s="4">
        <v>121.81</v>
      </c>
      <c r="Q35" s="4">
        <v>14.83</v>
      </c>
      <c r="R35" s="4">
        <v>362.7</v>
      </c>
      <c r="AF35" s="2">
        <f>'stock TW'!H35/parameters!I34</f>
        <v>9.895004773</v>
      </c>
      <c r="AG35" s="2">
        <f>'stock TW'!I35/parameters!I34</f>
        <v>3.293032135</v>
      </c>
      <c r="AH35" s="2">
        <f>'stock TW'!J35/parameters!I34</f>
        <v>16.41743557</v>
      </c>
      <c r="AI35" s="2">
        <f>'stock TW'!K35/parameters!I34</f>
        <v>10.16544703</v>
      </c>
    </row>
    <row r="36" ht="15.75" customHeight="1">
      <c r="A36" s="61">
        <v>46153.0</v>
      </c>
      <c r="L36" s="4">
        <v>262.05</v>
      </c>
      <c r="M36" s="4">
        <v>15.94</v>
      </c>
      <c r="N36" s="4">
        <v>32.42</v>
      </c>
      <c r="O36" s="4">
        <v>58.72</v>
      </c>
      <c r="P36" s="4">
        <v>136.53</v>
      </c>
      <c r="Q36" s="4">
        <v>14.77</v>
      </c>
      <c r="R36" s="4">
        <v>364.2</v>
      </c>
      <c r="S36" s="4">
        <v>72.81</v>
      </c>
      <c r="T36" s="4">
        <v>126.55</v>
      </c>
      <c r="AF36" s="2">
        <f>'stock TW'!H36/parameters!I35</f>
        <v>9.535179879</v>
      </c>
      <c r="AG36" s="2">
        <f>'stock TW'!I36/parameters!I35</f>
        <v>3.613498886</v>
      </c>
      <c r="AH36" s="2">
        <f>'stock TW'!J36/parameters!I35</f>
        <v>17.09646609</v>
      </c>
      <c r="AI36" s="2">
        <f>'stock TW'!K36/parameters!I35</f>
        <v>11.1747851</v>
      </c>
    </row>
    <row r="37" ht="15.75" customHeight="1">
      <c r="A37" s="61">
        <v>46154.0</v>
      </c>
      <c r="L37" s="4">
        <v>258.71</v>
      </c>
      <c r="M37" s="4">
        <v>17.09</v>
      </c>
      <c r="N37" s="4">
        <v>32.09</v>
      </c>
      <c r="O37" s="4">
        <v>54.51</v>
      </c>
      <c r="P37" s="4">
        <v>132.08</v>
      </c>
      <c r="Q37" s="4">
        <v>15.15</v>
      </c>
      <c r="R37" s="4">
        <v>358.04</v>
      </c>
      <c r="S37" s="4">
        <v>71.34</v>
      </c>
      <c r="T37" s="4">
        <v>119.59</v>
      </c>
      <c r="AF37" s="2">
        <f>'stock TW'!H37/parameters!I36</f>
        <v>9.555555556</v>
      </c>
      <c r="AG37" s="2">
        <f>'stock TW'!I37/parameters!I36</f>
        <v>3.714285714</v>
      </c>
      <c r="AH37" s="2">
        <f>'stock TW'!J37/parameters!I36</f>
        <v>17.61904762</v>
      </c>
      <c r="AI37" s="2">
        <f>'stock TW'!K37/parameters!I36</f>
        <v>11.66666667</v>
      </c>
    </row>
    <row r="38" ht="15.75" customHeight="1">
      <c r="A38" s="61">
        <v>46155.0</v>
      </c>
      <c r="L38" s="4">
        <v>269.87</v>
      </c>
      <c r="M38" s="4">
        <v>19.92</v>
      </c>
      <c r="N38" s="4">
        <v>35.68</v>
      </c>
      <c r="O38" s="4">
        <v>55.73</v>
      </c>
      <c r="P38" s="4">
        <v>139.74</v>
      </c>
      <c r="Q38" s="4">
        <v>14.98</v>
      </c>
      <c r="R38" s="4">
        <v>354.55</v>
      </c>
      <c r="S38" s="4">
        <v>69.38</v>
      </c>
      <c r="T38" s="4">
        <v>131.06</v>
      </c>
      <c r="AF38" s="2">
        <f>'stock TW'!H38/parameters!I37</f>
        <v>9.667194929</v>
      </c>
      <c r="AG38" s="2">
        <f>'stock TW'!I38/parameters!I37</f>
        <v>3.755942948</v>
      </c>
      <c r="AH38" s="2">
        <f>'stock TW'!J38/parameters!I37</f>
        <v>17.36925515</v>
      </c>
      <c r="AI38" s="2">
        <f>'stock TW'!K38/parameters!I37</f>
        <v>11.55309033</v>
      </c>
    </row>
    <row r="39" ht="15.75" customHeight="1">
      <c r="A39" s="61">
        <v>46156.0</v>
      </c>
      <c r="L39" s="4">
        <v>263.85</v>
      </c>
      <c r="M39" s="4">
        <v>21.6</v>
      </c>
      <c r="N39" s="4">
        <v>36.52</v>
      </c>
      <c r="O39" s="4">
        <v>54.7</v>
      </c>
      <c r="P39" s="4">
        <v>141.16</v>
      </c>
      <c r="Q39" s="4">
        <v>14.9</v>
      </c>
      <c r="R39" s="4">
        <v>352.84</v>
      </c>
      <c r="S39" s="4">
        <v>68.71</v>
      </c>
      <c r="T39" s="4">
        <v>129.78</v>
      </c>
      <c r="AF39" s="2">
        <f>'stock TW'!H39/parameters!I38</f>
        <v>9.393843224</v>
      </c>
      <c r="AG39" s="2">
        <f>'stock TW'!I39/parameters!I38</f>
        <v>3.665503015</v>
      </c>
      <c r="AH39" s="2">
        <f>'stock TW'!J39/parameters!I38</f>
        <v>17.39130435</v>
      </c>
      <c r="AI39" s="2">
        <f>'stock TW'!K39/parameters!I38</f>
        <v>11.88511584</v>
      </c>
    </row>
    <row r="40" ht="15.75" customHeight="1">
      <c r="A40" s="61">
        <v>46157.0</v>
      </c>
      <c r="L40" s="41">
        <v>259.59</v>
      </c>
      <c r="M40" s="41">
        <v>21.36</v>
      </c>
      <c r="N40" s="4">
        <v>33.89</v>
      </c>
      <c r="O40" s="4">
        <v>55.06</v>
      </c>
      <c r="P40" s="4">
        <v>137.64</v>
      </c>
      <c r="Q40" s="4">
        <v>14.94</v>
      </c>
      <c r="R40" s="4">
        <v>347.24</v>
      </c>
      <c r="S40" s="4">
        <v>70.01</v>
      </c>
      <c r="T40" s="4">
        <v>128.23</v>
      </c>
      <c r="AF40" s="2">
        <f>'stock TW'!H40/parameters!I39</f>
        <v>9.49587825</v>
      </c>
      <c r="AG40" s="2">
        <f>'stock TW'!I40/parameters!I39</f>
        <v>3.804692454</v>
      </c>
      <c r="AH40" s="2">
        <f>'stock TW'!J40/parameters!I39</f>
        <v>17.34305644</v>
      </c>
      <c r="AI40" s="2">
        <f>'stock TW'!K40/parameters!I39</f>
        <v>12.4445149</v>
      </c>
    </row>
    <row r="41" ht="15.75" customHeight="1">
      <c r="A41" s="81">
        <v>46160.0</v>
      </c>
      <c r="N41" s="4">
        <v>33.59</v>
      </c>
      <c r="O41" s="4">
        <v>50.15</v>
      </c>
      <c r="P41" s="4">
        <v>132.39</v>
      </c>
      <c r="Q41" s="4">
        <v>15.06</v>
      </c>
      <c r="R41" s="4">
        <v>345.99</v>
      </c>
      <c r="S41" s="4">
        <v>70.3</v>
      </c>
      <c r="T41" s="4">
        <v>119.16</v>
      </c>
      <c r="U41" s="4">
        <v>4.07</v>
      </c>
      <c r="V41" s="4">
        <v>72.24</v>
      </c>
      <c r="W41" s="4"/>
      <c r="X41" s="4"/>
      <c r="Y41" s="4"/>
      <c r="AG41" s="2">
        <f>'stock TW'!I41/parameters!I40</f>
        <v>4.185161699</v>
      </c>
      <c r="AH41" s="2">
        <f>'stock TW'!J41/parameters!I40</f>
        <v>16.16994293</v>
      </c>
      <c r="AI41" s="2">
        <f>'stock TW'!K41/parameters!I40</f>
        <v>12.00063412</v>
      </c>
      <c r="AJ41" s="2">
        <f>'stock TW'!L41/parameters!I40</f>
        <v>18.29422955</v>
      </c>
    </row>
    <row r="42" ht="15.75" customHeight="1">
      <c r="A42" s="81">
        <v>46161.0</v>
      </c>
      <c r="N42" s="4">
        <v>32.46</v>
      </c>
      <c r="O42" s="4">
        <v>47.09</v>
      </c>
      <c r="P42" s="4">
        <v>134.79</v>
      </c>
      <c r="Q42" s="4">
        <v>16.61</v>
      </c>
      <c r="R42" s="4">
        <v>338.12</v>
      </c>
      <c r="S42" s="4">
        <v>71.82</v>
      </c>
      <c r="T42" s="4">
        <v>123.64</v>
      </c>
      <c r="U42" s="4">
        <v>4.31</v>
      </c>
      <c r="V42" s="4">
        <v>70.16</v>
      </c>
      <c r="W42" s="4"/>
      <c r="X42" s="4"/>
      <c r="Y42" s="4"/>
      <c r="AG42" s="2">
        <f>'stock TW'!I42/parameters!I41</f>
        <v>4.328593997</v>
      </c>
      <c r="AH42" s="2">
        <f>'stock TW'!J42/parameters!I41</f>
        <v>14.91311216</v>
      </c>
      <c r="AI42" s="2">
        <f>'stock TW'!K42/parameters!I41</f>
        <v>11.87993681</v>
      </c>
      <c r="AJ42" s="2">
        <f>'stock TW'!L42/parameters!I41</f>
        <v>17.59873618</v>
      </c>
    </row>
    <row r="43" ht="15.75" customHeight="1">
      <c r="A43" s="81">
        <v>46162.0</v>
      </c>
      <c r="N43" s="4">
        <v>33.67</v>
      </c>
      <c r="O43" s="4">
        <v>49.22</v>
      </c>
      <c r="P43" s="4">
        <v>141.85</v>
      </c>
      <c r="Q43" s="4">
        <v>17.26</v>
      </c>
      <c r="R43" s="4">
        <v>350.89</v>
      </c>
      <c r="S43" s="4">
        <v>71.12</v>
      </c>
      <c r="T43" s="4">
        <v>129.82</v>
      </c>
      <c r="U43" s="4">
        <v>5.06</v>
      </c>
      <c r="V43" s="4">
        <v>71.13</v>
      </c>
      <c r="W43" s="4"/>
      <c r="X43" s="4"/>
      <c r="Y43" s="4"/>
      <c r="AG43" s="2">
        <f>'stock TW'!I43/parameters!I42</f>
        <v>3.902053712</v>
      </c>
      <c r="AH43" s="2">
        <f>'stock TW'!J43/parameters!I42</f>
        <v>15.03949447</v>
      </c>
      <c r="AI43" s="2">
        <f>'stock TW'!K43/parameters!I42</f>
        <v>11.35860979</v>
      </c>
      <c r="AJ43" s="2">
        <f>'stock TW'!L43/parameters!I42</f>
        <v>17.37756714</v>
      </c>
    </row>
    <row r="44" ht="15.75" customHeight="1">
      <c r="A44" s="30">
        <v>46163.0</v>
      </c>
      <c r="N44" s="4">
        <v>34.24</v>
      </c>
      <c r="O44" s="4">
        <v>49.42</v>
      </c>
      <c r="P44" s="4">
        <v>146.53</v>
      </c>
      <c r="Q44" s="4">
        <v>17.16</v>
      </c>
      <c r="R44" s="4">
        <v>358.46</v>
      </c>
      <c r="S44" s="4">
        <v>68.39</v>
      </c>
      <c r="T44" s="4">
        <v>132.33</v>
      </c>
      <c r="U44" s="4">
        <v>5.76</v>
      </c>
      <c r="V44" s="4">
        <v>69.75</v>
      </c>
      <c r="W44" s="4"/>
      <c r="X44" s="4"/>
      <c r="Y44" s="4"/>
      <c r="AG44" s="2">
        <f>'stock TW'!I44/parameters!I43</f>
        <v>3.807266983</v>
      </c>
      <c r="AH44" s="2">
        <f>'stock TW'!J44/parameters!I43</f>
        <v>16.11374408</v>
      </c>
      <c r="AI44" s="2">
        <f>'stock TW'!K44/parameters!I43</f>
        <v>11.80094787</v>
      </c>
      <c r="AJ44" s="2">
        <f>'stock TW'!L44/parameters!I43</f>
        <v>18.23064771</v>
      </c>
    </row>
    <row r="45" ht="15.75" customHeight="1">
      <c r="A45" s="38">
        <v>46164.0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1">
        <v>38.26</v>
      </c>
      <c r="O45" s="41">
        <v>51.84</v>
      </c>
      <c r="P45" s="41">
        <v>156.78</v>
      </c>
      <c r="Q45" s="41">
        <v>16.85</v>
      </c>
      <c r="R45" s="41">
        <v>373.59</v>
      </c>
      <c r="S45" s="41">
        <v>69.91</v>
      </c>
      <c r="T45" s="41">
        <v>143.69</v>
      </c>
      <c r="U45" s="41">
        <v>5.52</v>
      </c>
      <c r="V45" s="41">
        <v>71.36</v>
      </c>
      <c r="W45" s="41"/>
      <c r="X45" s="41"/>
      <c r="Y45" s="41"/>
      <c r="Z45" s="39"/>
      <c r="AA45" s="39"/>
      <c r="AB45" s="39"/>
      <c r="AC45" s="39"/>
      <c r="AD45" s="39"/>
      <c r="AE45" s="39"/>
      <c r="AF45" s="39"/>
      <c r="AG45" s="39">
        <f>'stock TW'!I45/parameters!I44</f>
        <v>4.199683043</v>
      </c>
      <c r="AH45" s="39">
        <f>'stock TW'!J45/parameters!I44</f>
        <v>17.78129952</v>
      </c>
      <c r="AI45" s="39">
        <f>'stock TW'!K45/parameters!I44</f>
        <v>11.93343899</v>
      </c>
      <c r="AJ45" s="39">
        <f>'stock TW'!L45/parameters!I44</f>
        <v>18.25673534</v>
      </c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</row>
    <row r="46" ht="15.75" customHeight="1">
      <c r="A46" s="30">
        <v>46167.0</v>
      </c>
      <c r="N46" s="4">
        <v>38.26</v>
      </c>
      <c r="O46" s="4">
        <v>51.84</v>
      </c>
      <c r="P46" s="4">
        <v>156.78</v>
      </c>
      <c r="Q46" s="4">
        <v>16.85</v>
      </c>
      <c r="R46" s="4">
        <v>373.59</v>
      </c>
      <c r="S46" s="4">
        <v>69.91</v>
      </c>
      <c r="T46" s="4">
        <v>143.69</v>
      </c>
      <c r="U46" s="4">
        <v>5.52</v>
      </c>
      <c r="V46" s="4">
        <v>71.36</v>
      </c>
      <c r="AG46" s="2">
        <f>'stock TW'!I46/parameters!I45</f>
        <v>4.611727417</v>
      </c>
      <c r="AH46" s="2">
        <f>'stock TW'!J46/parameters!I45</f>
        <v>19.5562599</v>
      </c>
      <c r="AI46" s="2">
        <f>'stock TW'!K46/parameters!I45</f>
        <v>12.51980983</v>
      </c>
      <c r="AJ46" s="2">
        <f>'stock TW'!L46/parameters!I45</f>
        <v>18.73217116</v>
      </c>
    </row>
    <row r="47" ht="15.75" customHeight="1">
      <c r="A47" s="30">
        <v>46168.0</v>
      </c>
      <c r="N47" s="4">
        <v>38.46</v>
      </c>
      <c r="O47" s="4">
        <v>53.12</v>
      </c>
      <c r="P47" s="4">
        <v>164.46</v>
      </c>
      <c r="Q47" s="4">
        <v>16.42</v>
      </c>
      <c r="R47" s="4">
        <v>381.75</v>
      </c>
      <c r="S47" s="4">
        <v>68.53</v>
      </c>
      <c r="T47" s="4">
        <v>147.57</v>
      </c>
      <c r="U47" s="4">
        <v>6.38</v>
      </c>
      <c r="V47" s="4">
        <v>73.94</v>
      </c>
      <c r="W47" s="4">
        <v>18.93</v>
      </c>
      <c r="X47" s="4">
        <v>10.82</v>
      </c>
      <c r="Y47" s="4">
        <v>42.7</v>
      </c>
      <c r="AG47" s="2">
        <f>'stock TW'!I47/parameters!I46</f>
        <v>4.728657569</v>
      </c>
      <c r="AH47" s="2">
        <f>'stock TW'!J47/parameters!I46</f>
        <v>19.39066963</v>
      </c>
      <c r="AI47" s="2">
        <f>'stock TW'!K47/parameters!I46</f>
        <v>12.99587433</v>
      </c>
      <c r="AJ47" s="2">
        <f>'stock TW'!L47/parameters!I46</f>
        <v>18.66074262</v>
      </c>
    </row>
    <row r="48" ht="15.75" customHeight="1">
      <c r="A48" s="30"/>
    </row>
    <row r="49" ht="15.75" customHeight="1">
      <c r="A49" s="30"/>
    </row>
    <row r="50" ht="15.75" customHeight="1">
      <c r="A50" s="3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8.71"/>
    <col customWidth="1" min="4" max="4" width="9.43"/>
    <col customWidth="1" min="5" max="5" width="8.71"/>
    <col customWidth="1" min="8" max="10" width="8.71"/>
  </cols>
  <sheetData>
    <row r="1">
      <c r="A1" s="82" t="s">
        <v>150</v>
      </c>
      <c r="B1" s="20" t="s">
        <v>262</v>
      </c>
      <c r="C1" s="20" t="s">
        <v>263</v>
      </c>
      <c r="D1" s="20" t="s">
        <v>265</v>
      </c>
      <c r="E1" s="20" t="s">
        <v>264</v>
      </c>
      <c r="F1" s="20" t="s">
        <v>266</v>
      </c>
      <c r="G1" s="20" t="s">
        <v>267</v>
      </c>
      <c r="H1" s="20" t="s">
        <v>268</v>
      </c>
      <c r="I1" s="4" t="s">
        <v>269</v>
      </c>
      <c r="J1" s="4" t="s">
        <v>270</v>
      </c>
      <c r="K1" s="4" t="s">
        <v>271</v>
      </c>
      <c r="L1" s="4" t="s">
        <v>272</v>
      </c>
    </row>
    <row r="2">
      <c r="A2" s="61">
        <v>46104.0</v>
      </c>
      <c r="B2" s="4">
        <v>1625.0</v>
      </c>
      <c r="E2" s="4">
        <v>121.5</v>
      </c>
      <c r="H2" s="56">
        <v>286.0</v>
      </c>
      <c r="I2" s="4">
        <v>70.8</v>
      </c>
      <c r="J2" s="4">
        <v>329.5</v>
      </c>
    </row>
    <row r="3">
      <c r="A3" s="61">
        <v>46105.0</v>
      </c>
      <c r="B3" s="4">
        <v>1620.0</v>
      </c>
      <c r="E3" s="4">
        <v>121.0</v>
      </c>
      <c r="H3" s="56">
        <v>278.5</v>
      </c>
      <c r="I3" s="4">
        <v>64.6</v>
      </c>
      <c r="J3" s="4">
        <v>332.5</v>
      </c>
    </row>
    <row r="4">
      <c r="A4" s="61">
        <v>46106.0</v>
      </c>
      <c r="B4" s="4">
        <v>1620.0</v>
      </c>
      <c r="E4" s="4">
        <v>126.5</v>
      </c>
      <c r="H4" s="56">
        <v>288.5</v>
      </c>
      <c r="I4" s="4">
        <v>68.0</v>
      </c>
      <c r="J4" s="4">
        <v>352.0</v>
      </c>
    </row>
    <row r="5">
      <c r="A5" s="61">
        <v>46107.0</v>
      </c>
      <c r="B5" s="4">
        <v>1590.0</v>
      </c>
      <c r="E5" s="4">
        <v>125.0</v>
      </c>
      <c r="H5" s="56">
        <v>288.0</v>
      </c>
      <c r="I5" s="4">
        <v>74.7</v>
      </c>
      <c r="J5" s="4">
        <v>359.0</v>
      </c>
    </row>
    <row r="6">
      <c r="A6" s="61">
        <v>46108.0</v>
      </c>
      <c r="B6" s="4">
        <v>1585.0</v>
      </c>
      <c r="E6" s="4">
        <v>129.5</v>
      </c>
      <c r="H6" s="56">
        <v>278.5</v>
      </c>
      <c r="I6" s="4">
        <v>70.6</v>
      </c>
      <c r="J6" s="4">
        <v>353.5</v>
      </c>
    </row>
    <row r="7">
      <c r="A7" s="61">
        <v>46111.0</v>
      </c>
      <c r="C7" s="4">
        <v>102.0</v>
      </c>
      <c r="E7" s="4">
        <v>125.5</v>
      </c>
      <c r="H7" s="56">
        <v>272.0</v>
      </c>
      <c r="I7" s="4">
        <v>66.7</v>
      </c>
      <c r="J7" s="4">
        <v>353.5</v>
      </c>
    </row>
    <row r="8">
      <c r="A8" s="61">
        <v>46112.0</v>
      </c>
      <c r="C8" s="4">
        <v>98.6</v>
      </c>
      <c r="E8" s="4">
        <v>118.0</v>
      </c>
      <c r="H8" s="56">
        <v>261.0</v>
      </c>
      <c r="I8" s="4">
        <v>63.3</v>
      </c>
      <c r="J8" s="4">
        <v>328.5</v>
      </c>
    </row>
    <row r="9">
      <c r="A9" s="61">
        <v>46113.0</v>
      </c>
      <c r="C9" s="4">
        <v>108.0</v>
      </c>
      <c r="E9" s="4">
        <v>123.0</v>
      </c>
      <c r="H9" s="56">
        <v>280.5</v>
      </c>
      <c r="I9" s="4">
        <v>64.5</v>
      </c>
      <c r="J9" s="4">
        <v>361.0</v>
      </c>
    </row>
    <row r="10">
      <c r="A10" s="62">
        <v>46114.0</v>
      </c>
      <c r="C10" s="4">
        <v>105.0</v>
      </c>
      <c r="E10" s="4">
        <v>125.5</v>
      </c>
      <c r="H10" s="56">
        <v>259.0</v>
      </c>
      <c r="I10" s="4">
        <v>66.0</v>
      </c>
      <c r="J10" s="4">
        <v>361.0</v>
      </c>
    </row>
    <row r="11">
      <c r="A11" s="62">
        <v>46118.0</v>
      </c>
      <c r="C11" s="4">
        <v>105.0</v>
      </c>
      <c r="E11" s="4">
        <v>125.5</v>
      </c>
      <c r="H11" s="56">
        <v>259.0</v>
      </c>
      <c r="I11" s="4">
        <v>66.0</v>
      </c>
      <c r="J11" s="4">
        <v>361.0</v>
      </c>
    </row>
    <row r="12">
      <c r="A12" s="61">
        <v>46119.0</v>
      </c>
      <c r="C12" s="4">
        <v>105.0</v>
      </c>
      <c r="E12" s="4">
        <v>138.0</v>
      </c>
      <c r="H12" s="56">
        <v>268.0</v>
      </c>
      <c r="I12" s="4">
        <v>64.8</v>
      </c>
      <c r="J12" s="4">
        <v>352.0</v>
      </c>
    </row>
    <row r="13">
      <c r="A13" s="61">
        <v>46120.0</v>
      </c>
      <c r="C13" s="4">
        <v>105.0</v>
      </c>
      <c r="E13" s="4">
        <v>145.5</v>
      </c>
      <c r="H13" s="56">
        <v>280.0</v>
      </c>
      <c r="I13" s="4">
        <v>71.2</v>
      </c>
      <c r="J13" s="4">
        <v>383.0</v>
      </c>
    </row>
    <row r="14">
      <c r="A14" s="61">
        <v>46121.0</v>
      </c>
      <c r="C14" s="4">
        <v>99.9</v>
      </c>
      <c r="E14" s="4">
        <v>142.5</v>
      </c>
      <c r="H14" s="56">
        <v>275.0</v>
      </c>
      <c r="I14" s="4">
        <v>78.3</v>
      </c>
      <c r="J14" s="4">
        <v>392.0</v>
      </c>
    </row>
    <row r="15">
      <c r="A15" s="61">
        <v>46122.0</v>
      </c>
      <c r="C15" s="4">
        <v>97.2</v>
      </c>
      <c r="E15" s="4">
        <v>144.5</v>
      </c>
      <c r="H15" s="56">
        <v>277.5</v>
      </c>
      <c r="I15" s="4">
        <v>77.8</v>
      </c>
      <c r="J15" s="4">
        <v>393.0</v>
      </c>
    </row>
    <row r="16">
      <c r="A16" s="61">
        <v>46125.0</v>
      </c>
      <c r="C16" s="4">
        <v>106.5</v>
      </c>
      <c r="D16" s="4">
        <v>309.5</v>
      </c>
      <c r="E16" s="4">
        <v>138.5</v>
      </c>
      <c r="H16" s="37"/>
      <c r="I16" s="4">
        <v>83.0</v>
      </c>
      <c r="J16" s="4">
        <v>417.5</v>
      </c>
    </row>
    <row r="17">
      <c r="A17" s="61">
        <v>46126.0</v>
      </c>
      <c r="C17" s="4">
        <v>102.5</v>
      </c>
      <c r="D17" s="4">
        <v>314.5</v>
      </c>
      <c r="E17" s="4">
        <v>136.0</v>
      </c>
      <c r="H17" s="37"/>
      <c r="I17" s="4">
        <v>75.8</v>
      </c>
      <c r="J17" s="4">
        <v>424.0</v>
      </c>
    </row>
    <row r="18">
      <c r="A18" s="61">
        <v>46127.0</v>
      </c>
      <c r="C18" s="4">
        <v>102.0</v>
      </c>
      <c r="D18" s="4">
        <v>345.5</v>
      </c>
      <c r="E18" s="4">
        <v>134.0</v>
      </c>
      <c r="H18" s="37"/>
      <c r="I18" s="4">
        <v>75.1</v>
      </c>
      <c r="J18" s="4">
        <v>446.5</v>
      </c>
    </row>
    <row r="19">
      <c r="A19" s="61">
        <v>46128.0</v>
      </c>
      <c r="C19" s="4">
        <v>101.5</v>
      </c>
      <c r="D19" s="4">
        <v>341.0</v>
      </c>
      <c r="E19" s="4">
        <v>141.0</v>
      </c>
      <c r="H19" s="37"/>
      <c r="I19" s="4">
        <v>75.3</v>
      </c>
      <c r="J19" s="4">
        <v>450.0</v>
      </c>
    </row>
    <row r="20">
      <c r="A20" s="61">
        <v>46129.0</v>
      </c>
      <c r="C20" s="4">
        <v>99.2</v>
      </c>
      <c r="D20" s="4">
        <v>366.0</v>
      </c>
      <c r="E20" s="4">
        <v>148.5</v>
      </c>
      <c r="H20" s="37"/>
      <c r="I20" s="4">
        <v>78.0</v>
      </c>
      <c r="J20" s="4">
        <v>442.0</v>
      </c>
    </row>
    <row r="21">
      <c r="A21" s="61">
        <v>46132.0</v>
      </c>
      <c r="D21" s="4">
        <v>383.0</v>
      </c>
      <c r="E21" s="4">
        <v>150.0</v>
      </c>
      <c r="F21" s="4">
        <v>68.5</v>
      </c>
      <c r="H21" s="37"/>
      <c r="I21" s="4">
        <v>83.5</v>
      </c>
      <c r="J21" s="4">
        <v>461.5</v>
      </c>
    </row>
    <row r="22">
      <c r="A22" s="61">
        <v>46133.0</v>
      </c>
      <c r="D22" s="4">
        <v>380.0</v>
      </c>
      <c r="E22" s="4">
        <v>146.0</v>
      </c>
      <c r="F22" s="4">
        <v>67.2</v>
      </c>
      <c r="H22" s="37"/>
      <c r="I22" s="4">
        <v>83.3</v>
      </c>
      <c r="J22" s="4">
        <v>472.0</v>
      </c>
    </row>
    <row r="23">
      <c r="A23" s="61">
        <v>46134.0</v>
      </c>
      <c r="D23" s="4">
        <v>363.5</v>
      </c>
      <c r="E23" s="4">
        <v>149.5</v>
      </c>
      <c r="F23" s="4">
        <v>69.5</v>
      </c>
      <c r="H23" s="37"/>
      <c r="I23" s="4">
        <v>83.3</v>
      </c>
      <c r="J23" s="4">
        <v>465.0</v>
      </c>
    </row>
    <row r="24">
      <c r="A24" s="61">
        <v>46135.0</v>
      </c>
      <c r="D24" s="4">
        <v>333.5</v>
      </c>
      <c r="E24" s="4">
        <v>135.5</v>
      </c>
      <c r="F24" s="4">
        <v>66.1</v>
      </c>
      <c r="H24" s="37"/>
      <c r="I24" s="4">
        <v>76.6</v>
      </c>
      <c r="J24" s="4">
        <v>464.5</v>
      </c>
    </row>
    <row r="25">
      <c r="A25" s="61">
        <v>46136.0</v>
      </c>
      <c r="D25" s="4">
        <v>318.0</v>
      </c>
      <c r="E25" s="4">
        <v>138.0</v>
      </c>
      <c r="F25" s="4">
        <v>65.8</v>
      </c>
      <c r="G25" s="4"/>
      <c r="H25" s="37"/>
      <c r="I25" s="4">
        <v>84.2</v>
      </c>
      <c r="J25" s="4">
        <v>496.0</v>
      </c>
    </row>
    <row r="26">
      <c r="A26" s="61">
        <v>46139.0</v>
      </c>
      <c r="F26" s="4">
        <v>62.4</v>
      </c>
      <c r="G26" s="4">
        <v>186.5</v>
      </c>
      <c r="H26" s="37"/>
      <c r="I26" s="41">
        <v>78.5</v>
      </c>
      <c r="J26" s="4">
        <v>495.5</v>
      </c>
      <c r="K26" s="4">
        <v>295.0</v>
      </c>
    </row>
    <row r="27">
      <c r="A27" s="61">
        <v>46140.0</v>
      </c>
      <c r="G27" s="4">
        <v>176.5</v>
      </c>
      <c r="H27" s="37"/>
      <c r="I27" s="41">
        <v>86.3</v>
      </c>
      <c r="J27" s="4">
        <v>495.5</v>
      </c>
      <c r="K27" s="4">
        <v>301.0</v>
      </c>
    </row>
    <row r="28">
      <c r="A28" s="61">
        <v>46141.0</v>
      </c>
      <c r="G28" s="4">
        <v>168.5</v>
      </c>
      <c r="H28" s="37"/>
      <c r="I28" s="41">
        <v>94.9</v>
      </c>
      <c r="J28" s="4">
        <v>488.5</v>
      </c>
      <c r="K28" s="4">
        <v>308.5</v>
      </c>
    </row>
    <row r="29">
      <c r="A29" s="61">
        <v>46142.0</v>
      </c>
      <c r="G29" s="4">
        <v>168.0</v>
      </c>
      <c r="H29" s="37"/>
      <c r="I29" s="41">
        <v>104.0</v>
      </c>
      <c r="J29" s="4">
        <v>478.0</v>
      </c>
      <c r="K29" s="4">
        <v>312.5</v>
      </c>
    </row>
    <row r="30">
      <c r="A30" s="62">
        <v>46143.0</v>
      </c>
      <c r="G30" s="4">
        <v>168.0</v>
      </c>
      <c r="H30" s="37"/>
      <c r="I30" s="41">
        <v>104.0</v>
      </c>
      <c r="J30" s="4">
        <v>478.0</v>
      </c>
      <c r="K30" s="4">
        <v>312.5</v>
      </c>
    </row>
    <row r="31">
      <c r="A31" s="61">
        <v>46146.0</v>
      </c>
      <c r="H31" s="56">
        <v>332.5</v>
      </c>
      <c r="I31" s="41">
        <v>114.0</v>
      </c>
      <c r="J31" s="4">
        <v>525.0</v>
      </c>
      <c r="K31" s="4">
        <v>318.5</v>
      </c>
    </row>
    <row r="32">
      <c r="A32" s="61">
        <v>46147.0</v>
      </c>
      <c r="H32" s="56">
        <v>354.0</v>
      </c>
      <c r="I32" s="41">
        <v>125.0</v>
      </c>
      <c r="J32" s="4">
        <v>520.0</v>
      </c>
      <c r="K32" s="4">
        <v>321.0</v>
      </c>
    </row>
    <row r="33">
      <c r="A33" s="61">
        <v>46148.0</v>
      </c>
      <c r="H33" s="56">
        <v>328.5</v>
      </c>
      <c r="I33" s="4">
        <v>112.5</v>
      </c>
      <c r="J33" s="4">
        <v>524.0</v>
      </c>
      <c r="K33" s="4">
        <v>315.5</v>
      </c>
    </row>
    <row r="34">
      <c r="A34" s="61">
        <v>46149.0</v>
      </c>
      <c r="H34" s="56">
        <v>339.0</v>
      </c>
      <c r="I34" s="4">
        <v>108.0</v>
      </c>
      <c r="J34" s="4">
        <v>540.0</v>
      </c>
      <c r="K34" s="4">
        <v>318.0</v>
      </c>
    </row>
    <row r="35">
      <c r="A35" s="61">
        <v>46150.0</v>
      </c>
      <c r="H35" s="56">
        <v>311.0</v>
      </c>
      <c r="I35" s="4">
        <v>103.5</v>
      </c>
      <c r="J35" s="4">
        <v>516.0</v>
      </c>
      <c r="K35" s="4">
        <v>319.5</v>
      </c>
    </row>
    <row r="36">
      <c r="A36" s="61">
        <v>46153.0</v>
      </c>
      <c r="H36" s="56">
        <v>299.5</v>
      </c>
      <c r="I36" s="4">
        <v>113.5</v>
      </c>
      <c r="J36" s="4">
        <v>537.0</v>
      </c>
      <c r="K36" s="4">
        <v>351.0</v>
      </c>
    </row>
    <row r="37">
      <c r="A37" s="61">
        <v>46154.0</v>
      </c>
      <c r="H37" s="56">
        <v>301.0</v>
      </c>
      <c r="I37" s="4">
        <v>117.0</v>
      </c>
      <c r="J37" s="4">
        <v>555.0</v>
      </c>
      <c r="K37" s="4">
        <v>367.5</v>
      </c>
    </row>
    <row r="38">
      <c r="A38" s="61">
        <v>46155.0</v>
      </c>
      <c r="H38" s="56">
        <v>305.0</v>
      </c>
      <c r="I38" s="4">
        <v>118.5</v>
      </c>
      <c r="J38" s="4">
        <v>548.0</v>
      </c>
      <c r="K38" s="4">
        <v>364.5</v>
      </c>
    </row>
    <row r="39">
      <c r="A39" s="61">
        <v>46156.0</v>
      </c>
      <c r="H39" s="56">
        <v>296.0</v>
      </c>
      <c r="I39" s="4">
        <v>115.5</v>
      </c>
      <c r="J39" s="4">
        <v>548.0</v>
      </c>
      <c r="K39" s="4">
        <v>374.5</v>
      </c>
    </row>
    <row r="40">
      <c r="A40" s="61">
        <v>46157.0</v>
      </c>
      <c r="H40" s="56">
        <v>299.5</v>
      </c>
      <c r="I40" s="4">
        <v>120.0</v>
      </c>
      <c r="J40" s="4">
        <v>547.0</v>
      </c>
      <c r="K40" s="4">
        <v>392.5</v>
      </c>
    </row>
    <row r="41">
      <c r="A41" s="61">
        <v>46160.0</v>
      </c>
      <c r="H41" s="56"/>
      <c r="I41" s="4">
        <v>132.0</v>
      </c>
      <c r="J41" s="4">
        <v>510.0</v>
      </c>
      <c r="K41" s="4">
        <v>378.5</v>
      </c>
      <c r="L41" s="4">
        <v>577.0</v>
      </c>
    </row>
    <row r="42">
      <c r="A42" s="61">
        <v>46161.0</v>
      </c>
      <c r="H42" s="37"/>
      <c r="I42" s="4">
        <v>137.0</v>
      </c>
      <c r="J42" s="4">
        <v>472.0</v>
      </c>
      <c r="K42" s="4">
        <v>376.0</v>
      </c>
      <c r="L42" s="4">
        <v>557.0</v>
      </c>
    </row>
    <row r="43">
      <c r="A43" s="61">
        <v>46162.0</v>
      </c>
      <c r="H43" s="37"/>
      <c r="I43" s="4">
        <v>123.5</v>
      </c>
      <c r="J43" s="4">
        <v>476.0</v>
      </c>
      <c r="K43" s="4">
        <v>359.5</v>
      </c>
      <c r="L43" s="4">
        <v>550.0</v>
      </c>
    </row>
    <row r="44">
      <c r="A44" s="61">
        <v>46163.0</v>
      </c>
      <c r="H44" s="37"/>
      <c r="I44" s="4">
        <v>120.5</v>
      </c>
      <c r="J44" s="4">
        <v>510.0</v>
      </c>
      <c r="K44" s="4">
        <v>373.5</v>
      </c>
      <c r="L44" s="4">
        <v>577.0</v>
      </c>
    </row>
    <row r="45">
      <c r="A45" s="66">
        <v>46164.0</v>
      </c>
      <c r="B45" s="39"/>
      <c r="C45" s="39"/>
      <c r="D45" s="39"/>
      <c r="E45" s="39"/>
      <c r="F45" s="39"/>
      <c r="G45" s="39"/>
      <c r="H45" s="83"/>
      <c r="I45" s="41">
        <v>132.5</v>
      </c>
      <c r="J45" s="41">
        <v>561.0</v>
      </c>
      <c r="K45" s="41">
        <v>376.5</v>
      </c>
      <c r="L45" s="41">
        <v>576.0</v>
      </c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61">
        <v>46167.0</v>
      </c>
      <c r="H46" s="37"/>
      <c r="I46" s="4">
        <v>145.5</v>
      </c>
      <c r="J46" s="4">
        <v>617.0</v>
      </c>
      <c r="K46" s="4">
        <v>395.0</v>
      </c>
      <c r="L46" s="4">
        <v>591.0</v>
      </c>
    </row>
    <row r="47">
      <c r="A47" s="61">
        <v>46168.0</v>
      </c>
      <c r="H47" s="37"/>
      <c r="I47" s="4">
        <v>149.0</v>
      </c>
      <c r="J47" s="4">
        <v>611.0</v>
      </c>
      <c r="K47" s="4">
        <v>409.5</v>
      </c>
      <c r="L47" s="4">
        <v>588.0</v>
      </c>
    </row>
    <row r="48">
      <c r="A48" s="61"/>
      <c r="H48" s="37"/>
    </row>
    <row r="49" ht="14.25" customHeight="1">
      <c r="A49" s="61"/>
      <c r="H49" s="37"/>
    </row>
    <row r="50">
      <c r="A50" s="61"/>
      <c r="H50" s="37"/>
    </row>
    <row r="51">
      <c r="H51" s="37"/>
    </row>
    <row r="52">
      <c r="H52" s="37"/>
    </row>
    <row r="53">
      <c r="H53" s="37"/>
    </row>
    <row r="54">
      <c r="H54" s="37"/>
    </row>
    <row r="55">
      <c r="H55" s="37"/>
    </row>
    <row r="56">
      <c r="H56" s="37"/>
    </row>
    <row r="57">
      <c r="H57" s="37"/>
    </row>
    <row r="58">
      <c r="H58" s="37"/>
    </row>
    <row r="59">
      <c r="H59" s="37"/>
    </row>
    <row r="60">
      <c r="H60" s="37"/>
    </row>
    <row r="61">
      <c r="H61" s="37"/>
    </row>
    <row r="62">
      <c r="H62" s="37"/>
    </row>
    <row r="63">
      <c r="H63" s="37"/>
    </row>
    <row r="64">
      <c r="H64" s="37"/>
    </row>
    <row r="65">
      <c r="H65" s="37"/>
    </row>
    <row r="66">
      <c r="H66" s="37"/>
    </row>
    <row r="67">
      <c r="H67" s="37"/>
    </row>
    <row r="68">
      <c r="H68" s="37"/>
    </row>
    <row r="69">
      <c r="H69" s="37"/>
    </row>
    <row r="70">
      <c r="H70" s="37"/>
    </row>
    <row r="71">
      <c r="H71" s="37"/>
    </row>
    <row r="72">
      <c r="H72" s="37"/>
    </row>
    <row r="73">
      <c r="H73" s="37"/>
    </row>
    <row r="74">
      <c r="H74" s="37"/>
    </row>
    <row r="75">
      <c r="H75" s="37"/>
    </row>
    <row r="76">
      <c r="H76" s="37"/>
    </row>
    <row r="77">
      <c r="H77" s="37"/>
    </row>
    <row r="78">
      <c r="H78" s="37"/>
    </row>
    <row r="79">
      <c r="H79" s="37"/>
    </row>
    <row r="80">
      <c r="H80" s="37"/>
    </row>
    <row r="81">
      <c r="H81" s="37"/>
    </row>
    <row r="82">
      <c r="H82" s="37"/>
    </row>
    <row r="83">
      <c r="H83" s="37"/>
    </row>
    <row r="84">
      <c r="H84" s="37"/>
    </row>
    <row r="85">
      <c r="H85" s="37"/>
    </row>
    <row r="86">
      <c r="H86" s="37"/>
    </row>
    <row r="87">
      <c r="H87" s="37"/>
    </row>
    <row r="88">
      <c r="H88" s="37"/>
    </row>
    <row r="89">
      <c r="H89" s="37"/>
    </row>
    <row r="90">
      <c r="H90" s="37"/>
    </row>
    <row r="91">
      <c r="H91" s="37"/>
    </row>
    <row r="92">
      <c r="H92" s="37"/>
    </row>
    <row r="93">
      <c r="H93" s="37"/>
    </row>
    <row r="94">
      <c r="H94" s="37"/>
    </row>
    <row r="95">
      <c r="H95" s="37"/>
    </row>
    <row r="96">
      <c r="H96" s="37"/>
    </row>
    <row r="97">
      <c r="H97" s="37"/>
    </row>
    <row r="98">
      <c r="H98" s="37"/>
    </row>
    <row r="99">
      <c r="H99" s="37"/>
    </row>
    <row r="100">
      <c r="H100" s="37"/>
    </row>
    <row r="101">
      <c r="H101" s="37"/>
    </row>
    <row r="102">
      <c r="H102" s="37"/>
    </row>
    <row r="103">
      <c r="H103" s="37"/>
    </row>
    <row r="104">
      <c r="H104" s="37"/>
    </row>
    <row r="105">
      <c r="H105" s="37"/>
    </row>
    <row r="106">
      <c r="H106" s="37"/>
    </row>
    <row r="107">
      <c r="H107" s="37"/>
    </row>
    <row r="108">
      <c r="H108" s="37"/>
    </row>
    <row r="109">
      <c r="H109" s="37"/>
    </row>
    <row r="110">
      <c r="H110" s="37"/>
    </row>
    <row r="111">
      <c r="H111" s="37"/>
    </row>
    <row r="112">
      <c r="H112" s="37"/>
    </row>
    <row r="113">
      <c r="H113" s="37"/>
    </row>
    <row r="114">
      <c r="H114" s="37"/>
    </row>
    <row r="115">
      <c r="H115" s="37"/>
    </row>
    <row r="116">
      <c r="H116" s="37"/>
    </row>
    <row r="117">
      <c r="H117" s="37"/>
    </row>
    <row r="118">
      <c r="H118" s="37"/>
    </row>
    <row r="119">
      <c r="H119" s="37"/>
    </row>
    <row r="120">
      <c r="H120" s="37"/>
    </row>
    <row r="121">
      <c r="H121" s="37"/>
    </row>
    <row r="122">
      <c r="H122" s="37"/>
    </row>
    <row r="123">
      <c r="H123" s="37"/>
    </row>
    <row r="124">
      <c r="H124" s="37"/>
    </row>
    <row r="125">
      <c r="H125" s="37"/>
    </row>
    <row r="126">
      <c r="H126" s="37"/>
    </row>
    <row r="127">
      <c r="H127" s="37"/>
    </row>
    <row r="128">
      <c r="H128" s="37"/>
    </row>
    <row r="129">
      <c r="H129" s="37"/>
    </row>
    <row r="130">
      <c r="H130" s="37"/>
    </row>
    <row r="131">
      <c r="H131" s="37"/>
    </row>
    <row r="132">
      <c r="H132" s="37"/>
    </row>
    <row r="133">
      <c r="H133" s="37"/>
    </row>
    <row r="134">
      <c r="H134" s="37"/>
    </row>
    <row r="135">
      <c r="H135" s="37"/>
    </row>
    <row r="136">
      <c r="H136" s="37"/>
    </row>
    <row r="137">
      <c r="H137" s="37"/>
    </row>
    <row r="138">
      <c r="H138" s="37"/>
    </row>
    <row r="139">
      <c r="H139" s="37"/>
    </row>
    <row r="140">
      <c r="H140" s="37"/>
    </row>
    <row r="141">
      <c r="H141" s="37"/>
    </row>
    <row r="142">
      <c r="H142" s="37"/>
    </row>
    <row r="143">
      <c r="H143" s="37"/>
    </row>
    <row r="144">
      <c r="H144" s="37"/>
    </row>
    <row r="145">
      <c r="H145" s="37"/>
    </row>
    <row r="146">
      <c r="H146" s="37"/>
    </row>
    <row r="147">
      <c r="H147" s="37"/>
    </row>
    <row r="148">
      <c r="H148" s="37"/>
    </row>
    <row r="149">
      <c r="H149" s="37"/>
    </row>
    <row r="150">
      <c r="H150" s="37"/>
    </row>
    <row r="151">
      <c r="H151" s="37"/>
    </row>
    <row r="152">
      <c r="H152" s="37"/>
    </row>
    <row r="153">
      <c r="H153" s="37"/>
    </row>
    <row r="154">
      <c r="H154" s="37"/>
    </row>
    <row r="155">
      <c r="H155" s="37"/>
    </row>
    <row r="156">
      <c r="H156" s="37"/>
    </row>
    <row r="157">
      <c r="H157" s="37"/>
    </row>
    <row r="158">
      <c r="H158" s="37"/>
    </row>
    <row r="159">
      <c r="H159" s="37"/>
    </row>
    <row r="160">
      <c r="H160" s="37"/>
    </row>
    <row r="161">
      <c r="H161" s="37"/>
    </row>
    <row r="162">
      <c r="H162" s="37"/>
    </row>
    <row r="163">
      <c r="H163" s="37"/>
    </row>
    <row r="164">
      <c r="H164" s="37"/>
    </row>
    <row r="165">
      <c r="H165" s="37"/>
    </row>
    <row r="166">
      <c r="H166" s="37"/>
    </row>
    <row r="167">
      <c r="H167" s="37"/>
    </row>
    <row r="168">
      <c r="H168" s="37"/>
    </row>
    <row r="169">
      <c r="H169" s="37"/>
    </row>
    <row r="170">
      <c r="H170" s="37"/>
    </row>
    <row r="171">
      <c r="H171" s="37"/>
    </row>
    <row r="172">
      <c r="H172" s="37"/>
    </row>
    <row r="173">
      <c r="H173" s="37"/>
    </row>
    <row r="174">
      <c r="H174" s="37"/>
    </row>
    <row r="175">
      <c r="H175" s="37"/>
    </row>
    <row r="176">
      <c r="H176" s="37"/>
    </row>
    <row r="177">
      <c r="H177" s="37"/>
    </row>
    <row r="178">
      <c r="H178" s="37"/>
    </row>
    <row r="179">
      <c r="H179" s="37"/>
    </row>
    <row r="180">
      <c r="H180" s="37"/>
    </row>
    <row r="181">
      <c r="H181" s="37"/>
    </row>
    <row r="182">
      <c r="H182" s="37"/>
    </row>
    <row r="183">
      <c r="H183" s="37"/>
    </row>
    <row r="184">
      <c r="H184" s="37"/>
    </row>
    <row r="185">
      <c r="H185" s="37"/>
    </row>
    <row r="186">
      <c r="H186" s="37"/>
    </row>
    <row r="187">
      <c r="H187" s="37"/>
    </row>
    <row r="188">
      <c r="H188" s="37"/>
    </row>
    <row r="189">
      <c r="H189" s="37"/>
    </row>
    <row r="190">
      <c r="H190" s="37"/>
    </row>
    <row r="191">
      <c r="H191" s="37"/>
    </row>
    <row r="192">
      <c r="H192" s="37"/>
    </row>
    <row r="193">
      <c r="H193" s="37"/>
    </row>
    <row r="194">
      <c r="H194" s="37"/>
    </row>
    <row r="195">
      <c r="H195" s="37"/>
    </row>
    <row r="196">
      <c r="H196" s="37"/>
    </row>
    <row r="197">
      <c r="H197" s="37"/>
    </row>
    <row r="198">
      <c r="H198" s="37"/>
    </row>
    <row r="199">
      <c r="H199" s="37"/>
    </row>
    <row r="200">
      <c r="H200" s="37"/>
    </row>
    <row r="201">
      <c r="H201" s="37"/>
    </row>
    <row r="202">
      <c r="H202" s="37"/>
    </row>
    <row r="203">
      <c r="H203" s="37"/>
    </row>
    <row r="204">
      <c r="H204" s="37"/>
    </row>
    <row r="205">
      <c r="H205" s="37"/>
    </row>
    <row r="206">
      <c r="H206" s="37"/>
    </row>
    <row r="207">
      <c r="H207" s="37"/>
    </row>
    <row r="208">
      <c r="H208" s="37"/>
    </row>
    <row r="209">
      <c r="H209" s="37"/>
    </row>
    <row r="210">
      <c r="H210" s="37"/>
    </row>
    <row r="211">
      <c r="H211" s="37"/>
    </row>
    <row r="212">
      <c r="H212" s="37"/>
    </row>
    <row r="213">
      <c r="H213" s="37"/>
    </row>
    <row r="214">
      <c r="H214" s="37"/>
    </row>
    <row r="215">
      <c r="H215" s="37"/>
    </row>
    <row r="216">
      <c r="H216" s="37"/>
    </row>
    <row r="217">
      <c r="H217" s="37"/>
    </row>
    <row r="218">
      <c r="H218" s="37"/>
    </row>
    <row r="219">
      <c r="H219" s="37"/>
    </row>
    <row r="220">
      <c r="H220" s="37"/>
    </row>
    <row r="221">
      <c r="H221" s="37"/>
    </row>
    <row r="222">
      <c r="H222" s="37"/>
    </row>
    <row r="223">
      <c r="H223" s="37"/>
    </row>
    <row r="224">
      <c r="H224" s="37"/>
    </row>
    <row r="225">
      <c r="H225" s="37"/>
    </row>
    <row r="226">
      <c r="H226" s="37"/>
    </row>
    <row r="227">
      <c r="H227" s="37"/>
    </row>
    <row r="228">
      <c r="H228" s="37"/>
    </row>
    <row r="229">
      <c r="H229" s="37"/>
    </row>
    <row r="230">
      <c r="H230" s="37"/>
    </row>
    <row r="231">
      <c r="H231" s="37"/>
    </row>
    <row r="232">
      <c r="H232" s="37"/>
    </row>
    <row r="233">
      <c r="H233" s="37"/>
    </row>
    <row r="234">
      <c r="H234" s="37"/>
    </row>
    <row r="235">
      <c r="H235" s="37"/>
    </row>
    <row r="236">
      <c r="H236" s="37"/>
    </row>
    <row r="237">
      <c r="H237" s="37"/>
    </row>
    <row r="238">
      <c r="H238" s="37"/>
    </row>
    <row r="239">
      <c r="H239" s="37"/>
    </row>
    <row r="240">
      <c r="H240" s="37"/>
    </row>
    <row r="241">
      <c r="H241" s="37"/>
    </row>
    <row r="242">
      <c r="H242" s="37"/>
    </row>
    <row r="243">
      <c r="H243" s="37"/>
    </row>
    <row r="244">
      <c r="H244" s="37"/>
    </row>
    <row r="245">
      <c r="H245" s="37"/>
    </row>
    <row r="246">
      <c r="H246" s="37"/>
    </row>
    <row r="247">
      <c r="H247" s="37"/>
    </row>
    <row r="248">
      <c r="H248" s="37"/>
    </row>
    <row r="249">
      <c r="H249" s="37"/>
    </row>
    <row r="250">
      <c r="H250" s="37"/>
    </row>
    <row r="251">
      <c r="H251" s="37"/>
    </row>
    <row r="252">
      <c r="H252" s="37"/>
    </row>
    <row r="253">
      <c r="H253" s="37"/>
    </row>
    <row r="254">
      <c r="H254" s="37"/>
    </row>
    <row r="255">
      <c r="H255" s="37"/>
    </row>
    <row r="256">
      <c r="H256" s="37"/>
    </row>
    <row r="257">
      <c r="H257" s="37"/>
    </row>
    <row r="258">
      <c r="H258" s="37"/>
    </row>
    <row r="259">
      <c r="H259" s="37"/>
    </row>
    <row r="260">
      <c r="H260" s="37"/>
    </row>
    <row r="261">
      <c r="H261" s="37"/>
    </row>
    <row r="262">
      <c r="H262" s="37"/>
    </row>
    <row r="263">
      <c r="H263" s="37"/>
    </row>
    <row r="264">
      <c r="H264" s="37"/>
    </row>
    <row r="265">
      <c r="H265" s="37"/>
    </row>
    <row r="266">
      <c r="H266" s="37"/>
    </row>
    <row r="267">
      <c r="H267" s="37"/>
    </row>
    <row r="268">
      <c r="H268" s="37"/>
    </row>
    <row r="269">
      <c r="H269" s="37"/>
    </row>
    <row r="270">
      <c r="H270" s="37"/>
    </row>
    <row r="271">
      <c r="H271" s="37"/>
    </row>
    <row r="272">
      <c r="H272" s="37"/>
    </row>
    <row r="273">
      <c r="H273" s="37"/>
    </row>
    <row r="274">
      <c r="H274" s="37"/>
    </row>
    <row r="275">
      <c r="H275" s="37"/>
    </row>
    <row r="276">
      <c r="H276" s="37"/>
    </row>
    <row r="277">
      <c r="H277" s="37"/>
    </row>
    <row r="278">
      <c r="H278" s="37"/>
    </row>
    <row r="279">
      <c r="H279" s="37"/>
    </row>
    <row r="280">
      <c r="H280" s="37"/>
    </row>
    <row r="281">
      <c r="H281" s="37"/>
    </row>
    <row r="282">
      <c r="H282" s="37"/>
    </row>
    <row r="283">
      <c r="H283" s="37"/>
    </row>
    <row r="284">
      <c r="H284" s="37"/>
    </row>
    <row r="285">
      <c r="H285" s="37"/>
    </row>
    <row r="286">
      <c r="H286" s="37"/>
    </row>
    <row r="287">
      <c r="H287" s="37"/>
    </row>
    <row r="288">
      <c r="H288" s="37"/>
    </row>
    <row r="289">
      <c r="H289" s="37"/>
    </row>
    <row r="290">
      <c r="H290" s="37"/>
    </row>
    <row r="291">
      <c r="H291" s="37"/>
    </row>
    <row r="292">
      <c r="H292" s="37"/>
    </row>
    <row r="293">
      <c r="H293" s="37"/>
    </row>
    <row r="294">
      <c r="H294" s="37"/>
    </row>
    <row r="295">
      <c r="H295" s="37"/>
    </row>
    <row r="296">
      <c r="H296" s="37"/>
    </row>
    <row r="297">
      <c r="H297" s="37"/>
    </row>
    <row r="298">
      <c r="H298" s="37"/>
    </row>
    <row r="299">
      <c r="H299" s="37"/>
    </row>
    <row r="300">
      <c r="H300" s="37"/>
    </row>
    <row r="301">
      <c r="H301" s="37"/>
    </row>
    <row r="302">
      <c r="H302" s="37"/>
    </row>
    <row r="303">
      <c r="H303" s="37"/>
    </row>
    <row r="304">
      <c r="H304" s="37"/>
    </row>
    <row r="305">
      <c r="H305" s="37"/>
    </row>
    <row r="306">
      <c r="H306" s="37"/>
    </row>
    <row r="307">
      <c r="H307" s="37"/>
    </row>
    <row r="308">
      <c r="H308" s="37"/>
    </row>
    <row r="309">
      <c r="H309" s="37"/>
    </row>
    <row r="310">
      <c r="H310" s="37"/>
    </row>
    <row r="311">
      <c r="H311" s="37"/>
    </row>
    <row r="312">
      <c r="H312" s="37"/>
    </row>
    <row r="313">
      <c r="H313" s="37"/>
    </row>
    <row r="314">
      <c r="H314" s="37"/>
    </row>
    <row r="315">
      <c r="H315" s="37"/>
    </row>
    <row r="316">
      <c r="H316" s="37"/>
    </row>
    <row r="317">
      <c r="H317" s="37"/>
    </row>
    <row r="318">
      <c r="H318" s="37"/>
    </row>
    <row r="319">
      <c r="H319" s="37"/>
    </row>
    <row r="320">
      <c r="H320" s="37"/>
    </row>
    <row r="321">
      <c r="H321" s="37"/>
    </row>
    <row r="322">
      <c r="H322" s="37"/>
    </row>
    <row r="323">
      <c r="H323" s="37"/>
    </row>
    <row r="324">
      <c r="H324" s="37"/>
    </row>
    <row r="325">
      <c r="H325" s="37"/>
    </row>
    <row r="326">
      <c r="H326" s="37"/>
    </row>
    <row r="327">
      <c r="H327" s="37"/>
    </row>
    <row r="328">
      <c r="H328" s="37"/>
    </row>
    <row r="329">
      <c r="H329" s="37"/>
    </row>
    <row r="330">
      <c r="H330" s="37"/>
    </row>
    <row r="331">
      <c r="H331" s="37"/>
    </row>
    <row r="332">
      <c r="H332" s="37"/>
    </row>
    <row r="333">
      <c r="H333" s="37"/>
    </row>
    <row r="334">
      <c r="H334" s="37"/>
    </row>
    <row r="335">
      <c r="H335" s="37"/>
    </row>
    <row r="336">
      <c r="H336" s="37"/>
    </row>
    <row r="337">
      <c r="H337" s="37"/>
    </row>
    <row r="338">
      <c r="H338" s="37"/>
    </row>
    <row r="339">
      <c r="H339" s="37"/>
    </row>
    <row r="340">
      <c r="H340" s="37"/>
    </row>
    <row r="341">
      <c r="H341" s="37"/>
    </row>
    <row r="342">
      <c r="H342" s="37"/>
    </row>
    <row r="343">
      <c r="H343" s="37"/>
    </row>
    <row r="344">
      <c r="H344" s="37"/>
    </row>
    <row r="345">
      <c r="H345" s="37"/>
    </row>
    <row r="346">
      <c r="H346" s="37"/>
    </row>
    <row r="347">
      <c r="H347" s="37"/>
    </row>
    <row r="348">
      <c r="H348" s="37"/>
    </row>
    <row r="349">
      <c r="H349" s="37"/>
    </row>
    <row r="350">
      <c r="H350" s="37"/>
    </row>
    <row r="351">
      <c r="H351" s="37"/>
    </row>
    <row r="352">
      <c r="H352" s="37"/>
    </row>
    <row r="353">
      <c r="H353" s="37"/>
    </row>
    <row r="354">
      <c r="H354" s="37"/>
    </row>
    <row r="355">
      <c r="H355" s="37"/>
    </row>
    <row r="356">
      <c r="H356" s="37"/>
    </row>
    <row r="357">
      <c r="H357" s="37"/>
    </row>
    <row r="358">
      <c r="H358" s="37"/>
    </row>
    <row r="359">
      <c r="H359" s="37"/>
    </row>
    <row r="360">
      <c r="H360" s="37"/>
    </row>
    <row r="361">
      <c r="H361" s="37"/>
    </row>
    <row r="362">
      <c r="H362" s="37"/>
    </row>
    <row r="363">
      <c r="H363" s="37"/>
    </row>
    <row r="364">
      <c r="H364" s="37"/>
    </row>
    <row r="365">
      <c r="H365" s="37"/>
    </row>
    <row r="366">
      <c r="H366" s="37"/>
    </row>
    <row r="367">
      <c r="H367" s="37"/>
    </row>
    <row r="368">
      <c r="H368" s="37"/>
    </row>
    <row r="369">
      <c r="H369" s="37"/>
    </row>
    <row r="370">
      <c r="H370" s="37"/>
    </row>
    <row r="371">
      <c r="H371" s="37"/>
    </row>
    <row r="372">
      <c r="H372" s="37"/>
    </row>
    <row r="373">
      <c r="H373" s="37"/>
    </row>
    <row r="374">
      <c r="H374" s="37"/>
    </row>
    <row r="375">
      <c r="H375" s="37"/>
    </row>
    <row r="376">
      <c r="H376" s="37"/>
    </row>
    <row r="377">
      <c r="H377" s="37"/>
    </row>
    <row r="378">
      <c r="H378" s="37"/>
    </row>
    <row r="379">
      <c r="H379" s="37"/>
    </row>
    <row r="380">
      <c r="H380" s="37"/>
    </row>
    <row r="381">
      <c r="H381" s="37"/>
    </row>
    <row r="382">
      <c r="H382" s="37"/>
    </row>
    <row r="383">
      <c r="H383" s="37"/>
    </row>
    <row r="384">
      <c r="H384" s="37"/>
    </row>
    <row r="385">
      <c r="H385" s="37"/>
    </row>
    <row r="386">
      <c r="H386" s="37"/>
    </row>
    <row r="387">
      <c r="H387" s="37"/>
    </row>
    <row r="388">
      <c r="H388" s="37"/>
    </row>
    <row r="389">
      <c r="H389" s="37"/>
    </row>
    <row r="390">
      <c r="H390" s="37"/>
    </row>
    <row r="391">
      <c r="H391" s="37"/>
    </row>
    <row r="392">
      <c r="H392" s="37"/>
    </row>
    <row r="393">
      <c r="H393" s="37"/>
    </row>
    <row r="394">
      <c r="H394" s="37"/>
    </row>
    <row r="395">
      <c r="H395" s="37"/>
    </row>
    <row r="396">
      <c r="H396" s="37"/>
    </row>
    <row r="397">
      <c r="H397" s="37"/>
    </row>
    <row r="398">
      <c r="H398" s="37"/>
    </row>
    <row r="399">
      <c r="H399" s="37"/>
    </row>
    <row r="400">
      <c r="H400" s="37"/>
    </row>
    <row r="401">
      <c r="H401" s="37"/>
    </row>
    <row r="402">
      <c r="H402" s="37"/>
    </row>
    <row r="403">
      <c r="H403" s="37"/>
    </row>
    <row r="404">
      <c r="H404" s="37"/>
    </row>
    <row r="405">
      <c r="H405" s="37"/>
    </row>
    <row r="406">
      <c r="H406" s="37"/>
    </row>
    <row r="407">
      <c r="H407" s="37"/>
    </row>
    <row r="408">
      <c r="H408" s="37"/>
    </row>
    <row r="409">
      <c r="H409" s="37"/>
    </row>
    <row r="410">
      <c r="H410" s="37"/>
    </row>
    <row r="411">
      <c r="H411" s="37"/>
    </row>
    <row r="412">
      <c r="H412" s="37"/>
    </row>
    <row r="413">
      <c r="H413" s="37"/>
    </row>
    <row r="414">
      <c r="H414" s="37"/>
    </row>
    <row r="415">
      <c r="H415" s="37"/>
    </row>
    <row r="416">
      <c r="H416" s="37"/>
    </row>
    <row r="417">
      <c r="H417" s="37"/>
    </row>
    <row r="418">
      <c r="H418" s="37"/>
    </row>
    <row r="419">
      <c r="H419" s="37"/>
    </row>
    <row r="420">
      <c r="H420" s="37"/>
    </row>
    <row r="421">
      <c r="H421" s="37"/>
    </row>
    <row r="422">
      <c r="H422" s="37"/>
    </row>
    <row r="423">
      <c r="H423" s="37"/>
    </row>
    <row r="424">
      <c r="H424" s="37"/>
    </row>
    <row r="425">
      <c r="H425" s="37"/>
    </row>
    <row r="426">
      <c r="H426" s="37"/>
    </row>
    <row r="427">
      <c r="H427" s="37"/>
    </row>
    <row r="428">
      <c r="H428" s="37"/>
    </row>
    <row r="429">
      <c r="H429" s="37"/>
    </row>
    <row r="430">
      <c r="H430" s="37"/>
    </row>
    <row r="431">
      <c r="H431" s="37"/>
    </row>
    <row r="432">
      <c r="H432" s="37"/>
    </row>
    <row r="433">
      <c r="H433" s="37"/>
    </row>
    <row r="434">
      <c r="H434" s="37"/>
    </row>
    <row r="435">
      <c r="H435" s="37"/>
    </row>
    <row r="436">
      <c r="H436" s="37"/>
    </row>
    <row r="437">
      <c r="H437" s="37"/>
    </row>
    <row r="438">
      <c r="H438" s="37"/>
    </row>
    <row r="439">
      <c r="H439" s="37"/>
    </row>
    <row r="440">
      <c r="H440" s="37"/>
    </row>
    <row r="441">
      <c r="H441" s="37"/>
    </row>
    <row r="442">
      <c r="H442" s="37"/>
    </row>
    <row r="443">
      <c r="H443" s="37"/>
    </row>
    <row r="444">
      <c r="H444" s="37"/>
    </row>
    <row r="445">
      <c r="H445" s="37"/>
    </row>
    <row r="446">
      <c r="H446" s="37"/>
    </row>
    <row r="447">
      <c r="H447" s="37"/>
    </row>
    <row r="448">
      <c r="H448" s="37"/>
    </row>
    <row r="449">
      <c r="H449" s="37"/>
    </row>
    <row r="450">
      <c r="H450" s="37"/>
    </row>
    <row r="451">
      <c r="H451" s="37"/>
    </row>
    <row r="452">
      <c r="H452" s="37"/>
    </row>
    <row r="453">
      <c r="H453" s="37"/>
    </row>
    <row r="454">
      <c r="H454" s="37"/>
    </row>
    <row r="455">
      <c r="H455" s="37"/>
    </row>
    <row r="456">
      <c r="H456" s="37"/>
    </row>
    <row r="457">
      <c r="H457" s="37"/>
    </row>
    <row r="458">
      <c r="H458" s="37"/>
    </row>
    <row r="459">
      <c r="H459" s="37"/>
    </row>
    <row r="460">
      <c r="H460" s="37"/>
    </row>
    <row r="461">
      <c r="H461" s="37"/>
    </row>
    <row r="462">
      <c r="H462" s="37"/>
    </row>
    <row r="463">
      <c r="H463" s="37"/>
    </row>
    <row r="464">
      <c r="H464" s="37"/>
    </row>
    <row r="465">
      <c r="H465" s="37"/>
    </row>
    <row r="466">
      <c r="H466" s="37"/>
    </row>
    <row r="467">
      <c r="H467" s="37"/>
    </row>
    <row r="468">
      <c r="H468" s="37"/>
    </row>
    <row r="469">
      <c r="H469" s="37"/>
    </row>
    <row r="470">
      <c r="H470" s="37"/>
    </row>
    <row r="471">
      <c r="H471" s="37"/>
    </row>
    <row r="472">
      <c r="H472" s="37"/>
    </row>
    <row r="473">
      <c r="H473" s="37"/>
    </row>
    <row r="474">
      <c r="H474" s="37"/>
    </row>
    <row r="475">
      <c r="H475" s="37"/>
    </row>
    <row r="476">
      <c r="H476" s="37"/>
    </row>
    <row r="477">
      <c r="H477" s="37"/>
    </row>
    <row r="478">
      <c r="H478" s="37"/>
    </row>
    <row r="479">
      <c r="H479" s="37"/>
    </row>
    <row r="480">
      <c r="H480" s="37"/>
    </row>
    <row r="481">
      <c r="H481" s="37"/>
    </row>
    <row r="482">
      <c r="H482" s="37"/>
    </row>
    <row r="483">
      <c r="H483" s="37"/>
    </row>
    <row r="484">
      <c r="H484" s="37"/>
    </row>
    <row r="485">
      <c r="H485" s="37"/>
    </row>
    <row r="486">
      <c r="H486" s="37"/>
    </row>
    <row r="487">
      <c r="H487" s="37"/>
    </row>
    <row r="488">
      <c r="H488" s="37"/>
    </row>
    <row r="489">
      <c r="H489" s="37"/>
    </row>
    <row r="490">
      <c r="H490" s="37"/>
    </row>
    <row r="491">
      <c r="H491" s="37"/>
    </row>
    <row r="492">
      <c r="H492" s="37"/>
    </row>
    <row r="493">
      <c r="H493" s="37"/>
    </row>
    <row r="494">
      <c r="H494" s="37"/>
    </row>
    <row r="495">
      <c r="H495" s="37"/>
    </row>
    <row r="496">
      <c r="H496" s="37"/>
    </row>
    <row r="497">
      <c r="H497" s="37"/>
    </row>
    <row r="498">
      <c r="H498" s="37"/>
    </row>
    <row r="499">
      <c r="H499" s="37"/>
    </row>
    <row r="500">
      <c r="H500" s="37"/>
    </row>
    <row r="501">
      <c r="H501" s="37"/>
    </row>
    <row r="502">
      <c r="H502" s="37"/>
    </row>
    <row r="503">
      <c r="H503" s="37"/>
    </row>
    <row r="504">
      <c r="H504" s="37"/>
    </row>
    <row r="505">
      <c r="H505" s="37"/>
    </row>
    <row r="506">
      <c r="H506" s="37"/>
    </row>
    <row r="507">
      <c r="H507" s="37"/>
    </row>
    <row r="508">
      <c r="H508" s="37"/>
    </row>
    <row r="509">
      <c r="H509" s="37"/>
    </row>
    <row r="510">
      <c r="H510" s="37"/>
    </row>
    <row r="511">
      <c r="H511" s="37"/>
    </row>
    <row r="512">
      <c r="H512" s="37"/>
    </row>
    <row r="513">
      <c r="H513" s="37"/>
    </row>
    <row r="514">
      <c r="H514" s="37"/>
    </row>
    <row r="515">
      <c r="H515" s="37"/>
    </row>
    <row r="516">
      <c r="H516" s="37"/>
    </row>
    <row r="517">
      <c r="H517" s="37"/>
    </row>
    <row r="518">
      <c r="H518" s="37"/>
    </row>
    <row r="519">
      <c r="H519" s="37"/>
    </row>
    <row r="520">
      <c r="H520" s="37"/>
    </row>
    <row r="521">
      <c r="H521" s="37"/>
    </row>
    <row r="522">
      <c r="H522" s="37"/>
    </row>
    <row r="523">
      <c r="H523" s="37"/>
    </row>
    <row r="524">
      <c r="H524" s="37"/>
    </row>
    <row r="525">
      <c r="H525" s="37"/>
    </row>
    <row r="526">
      <c r="H526" s="37"/>
    </row>
    <row r="527">
      <c r="H527" s="37"/>
    </row>
    <row r="528">
      <c r="H528" s="37"/>
    </row>
    <row r="529">
      <c r="H529" s="37"/>
    </row>
    <row r="530">
      <c r="H530" s="37"/>
    </row>
    <row r="531">
      <c r="H531" s="37"/>
    </row>
    <row r="532">
      <c r="H532" s="37"/>
    </row>
    <row r="533">
      <c r="H533" s="37"/>
    </row>
    <row r="534">
      <c r="H534" s="37"/>
    </row>
    <row r="535">
      <c r="H535" s="37"/>
    </row>
    <row r="536">
      <c r="H536" s="37"/>
    </row>
    <row r="537">
      <c r="H537" s="37"/>
    </row>
    <row r="538">
      <c r="H538" s="37"/>
    </row>
    <row r="539">
      <c r="H539" s="37"/>
    </row>
    <row r="540">
      <c r="H540" s="37"/>
    </row>
    <row r="541">
      <c r="H541" s="37"/>
    </row>
    <row r="542">
      <c r="H542" s="37"/>
    </row>
    <row r="543">
      <c r="H543" s="37"/>
    </row>
    <row r="544">
      <c r="H544" s="37"/>
    </row>
    <row r="545">
      <c r="H545" s="37"/>
    </row>
    <row r="546">
      <c r="H546" s="37"/>
    </row>
    <row r="547">
      <c r="H547" s="37"/>
    </row>
    <row r="548">
      <c r="H548" s="37"/>
    </row>
    <row r="549">
      <c r="H549" s="37"/>
    </row>
    <row r="550">
      <c r="H550" s="37"/>
    </row>
    <row r="551">
      <c r="H551" s="37"/>
    </row>
    <row r="552">
      <c r="H552" s="37"/>
    </row>
    <row r="553">
      <c r="H553" s="37"/>
    </row>
    <row r="554">
      <c r="H554" s="37"/>
    </row>
    <row r="555">
      <c r="H555" s="37"/>
    </row>
    <row r="556">
      <c r="H556" s="37"/>
    </row>
    <row r="557">
      <c r="H557" s="37"/>
    </row>
    <row r="558">
      <c r="H558" s="37"/>
    </row>
    <row r="559">
      <c r="H559" s="37"/>
    </row>
    <row r="560">
      <c r="H560" s="37"/>
    </row>
    <row r="561">
      <c r="H561" s="37"/>
    </row>
    <row r="562">
      <c r="H562" s="37"/>
    </row>
    <row r="563">
      <c r="H563" s="37"/>
    </row>
    <row r="564">
      <c r="H564" s="37"/>
    </row>
    <row r="565">
      <c r="H565" s="37"/>
    </row>
    <row r="566">
      <c r="H566" s="37"/>
    </row>
    <row r="567">
      <c r="H567" s="37"/>
    </row>
    <row r="568">
      <c r="H568" s="37"/>
    </row>
    <row r="569">
      <c r="H569" s="37"/>
    </row>
    <row r="570">
      <c r="H570" s="37"/>
    </row>
    <row r="571">
      <c r="H571" s="37"/>
    </row>
    <row r="572">
      <c r="H572" s="37"/>
    </row>
    <row r="573">
      <c r="H573" s="37"/>
    </row>
    <row r="574">
      <c r="H574" s="37"/>
    </row>
    <row r="575">
      <c r="H575" s="37"/>
    </row>
    <row r="576">
      <c r="H576" s="37"/>
    </row>
    <row r="577">
      <c r="H577" s="37"/>
    </row>
    <row r="578">
      <c r="H578" s="37"/>
    </row>
    <row r="579">
      <c r="H579" s="37"/>
    </row>
    <row r="580">
      <c r="H580" s="37"/>
    </row>
    <row r="581">
      <c r="H581" s="37"/>
    </row>
    <row r="582">
      <c r="H582" s="37"/>
    </row>
    <row r="583">
      <c r="H583" s="37"/>
    </row>
    <row r="584">
      <c r="H584" s="37"/>
    </row>
    <row r="585">
      <c r="H585" s="37"/>
    </row>
    <row r="586">
      <c r="H586" s="37"/>
    </row>
    <row r="587">
      <c r="H587" s="37"/>
    </row>
    <row r="588">
      <c r="H588" s="37"/>
    </row>
    <row r="589">
      <c r="H589" s="37"/>
    </row>
    <row r="590">
      <c r="H590" s="37"/>
    </row>
    <row r="591">
      <c r="H591" s="37"/>
    </row>
    <row r="592">
      <c r="H592" s="37"/>
    </row>
    <row r="593">
      <c r="H593" s="37"/>
    </row>
    <row r="594">
      <c r="H594" s="37"/>
    </row>
    <row r="595">
      <c r="H595" s="37"/>
    </row>
    <row r="596">
      <c r="H596" s="37"/>
    </row>
    <row r="597">
      <c r="H597" s="37"/>
    </row>
    <row r="598">
      <c r="H598" s="37"/>
    </row>
    <row r="599">
      <c r="H599" s="37"/>
    </row>
    <row r="600">
      <c r="H600" s="37"/>
    </row>
    <row r="601">
      <c r="H601" s="37"/>
    </row>
    <row r="602">
      <c r="H602" s="37"/>
    </row>
    <row r="603">
      <c r="H603" s="37"/>
    </row>
    <row r="604">
      <c r="H604" s="37"/>
    </row>
    <row r="605">
      <c r="H605" s="37"/>
    </row>
    <row r="606">
      <c r="H606" s="37"/>
    </row>
    <row r="607">
      <c r="H607" s="37"/>
    </row>
    <row r="608">
      <c r="H608" s="37"/>
    </row>
    <row r="609">
      <c r="H609" s="37"/>
    </row>
    <row r="610">
      <c r="H610" s="37"/>
    </row>
    <row r="611">
      <c r="H611" s="37"/>
    </row>
    <row r="612">
      <c r="H612" s="37"/>
    </row>
    <row r="613">
      <c r="H613" s="37"/>
    </row>
    <row r="614">
      <c r="H614" s="37"/>
    </row>
    <row r="615">
      <c r="H615" s="37"/>
    </row>
    <row r="616">
      <c r="H616" s="37"/>
    </row>
    <row r="617">
      <c r="H617" s="37"/>
    </row>
    <row r="618">
      <c r="H618" s="37"/>
    </row>
    <row r="619">
      <c r="H619" s="37"/>
    </row>
    <row r="620">
      <c r="H620" s="37"/>
    </row>
    <row r="621">
      <c r="H621" s="37"/>
    </row>
    <row r="622">
      <c r="H622" s="37"/>
    </row>
    <row r="623">
      <c r="H623" s="37"/>
    </row>
    <row r="624">
      <c r="H624" s="37"/>
    </row>
    <row r="625">
      <c r="H625" s="37"/>
    </row>
    <row r="626">
      <c r="H626" s="37"/>
    </row>
    <row r="627">
      <c r="H627" s="37"/>
    </row>
    <row r="628">
      <c r="H628" s="37"/>
    </row>
    <row r="629">
      <c r="H629" s="37"/>
    </row>
    <row r="630">
      <c r="H630" s="37"/>
    </row>
    <row r="631">
      <c r="H631" s="37"/>
    </row>
    <row r="632">
      <c r="H632" s="37"/>
    </row>
    <row r="633">
      <c r="H633" s="37"/>
    </row>
    <row r="634">
      <c r="H634" s="37"/>
    </row>
    <row r="635">
      <c r="H635" s="37"/>
    </row>
    <row r="636">
      <c r="H636" s="37"/>
    </row>
    <row r="637">
      <c r="H637" s="37"/>
    </row>
    <row r="638">
      <c r="H638" s="37"/>
    </row>
    <row r="639">
      <c r="H639" s="37"/>
    </row>
    <row r="640">
      <c r="H640" s="37"/>
    </row>
    <row r="641">
      <c r="H641" s="37"/>
    </row>
    <row r="642">
      <c r="H642" s="37"/>
    </row>
    <row r="643">
      <c r="H643" s="37"/>
    </row>
    <row r="644">
      <c r="H644" s="37"/>
    </row>
    <row r="645">
      <c r="H645" s="37"/>
    </row>
    <row r="646">
      <c r="H646" s="37"/>
    </row>
    <row r="647">
      <c r="H647" s="37"/>
    </row>
    <row r="648">
      <c r="H648" s="37"/>
    </row>
    <row r="649">
      <c r="H649" s="37"/>
    </row>
    <row r="650">
      <c r="H650" s="37"/>
    </row>
    <row r="651">
      <c r="H651" s="37"/>
    </row>
    <row r="652">
      <c r="H652" s="37"/>
    </row>
    <row r="653">
      <c r="H653" s="37"/>
    </row>
    <row r="654">
      <c r="H654" s="37"/>
    </row>
    <row r="655">
      <c r="H655" s="37"/>
    </row>
    <row r="656">
      <c r="H656" s="37"/>
    </row>
    <row r="657">
      <c r="H657" s="37"/>
    </row>
    <row r="658">
      <c r="H658" s="37"/>
    </row>
    <row r="659">
      <c r="H659" s="37"/>
    </row>
    <row r="660">
      <c r="H660" s="37"/>
    </row>
    <row r="661">
      <c r="H661" s="37"/>
    </row>
    <row r="662">
      <c r="H662" s="37"/>
    </row>
    <row r="663">
      <c r="H663" s="37"/>
    </row>
    <row r="664">
      <c r="H664" s="37"/>
    </row>
    <row r="665">
      <c r="H665" s="37"/>
    </row>
    <row r="666">
      <c r="H666" s="37"/>
    </row>
    <row r="667">
      <c r="H667" s="37"/>
    </row>
    <row r="668">
      <c r="H668" s="37"/>
    </row>
    <row r="669">
      <c r="H669" s="37"/>
    </row>
    <row r="670">
      <c r="H670" s="37"/>
    </row>
    <row r="671">
      <c r="H671" s="37"/>
    </row>
    <row r="672">
      <c r="H672" s="37"/>
    </row>
    <row r="673">
      <c r="H673" s="37"/>
    </row>
    <row r="674">
      <c r="H674" s="37"/>
    </row>
    <row r="675">
      <c r="H675" s="37"/>
    </row>
    <row r="676">
      <c r="H676" s="37"/>
    </row>
    <row r="677">
      <c r="H677" s="37"/>
    </row>
    <row r="678">
      <c r="H678" s="37"/>
    </row>
    <row r="679">
      <c r="H679" s="37"/>
    </row>
    <row r="680">
      <c r="H680" s="37"/>
    </row>
    <row r="681">
      <c r="H681" s="37"/>
    </row>
    <row r="682">
      <c r="H682" s="37"/>
    </row>
    <row r="683">
      <c r="H683" s="37"/>
    </row>
    <row r="684">
      <c r="H684" s="37"/>
    </row>
    <row r="685">
      <c r="H685" s="37"/>
    </row>
    <row r="686">
      <c r="H686" s="37"/>
    </row>
    <row r="687">
      <c r="H687" s="37"/>
    </row>
    <row r="688">
      <c r="H688" s="37"/>
    </row>
    <row r="689">
      <c r="H689" s="37"/>
    </row>
    <row r="690">
      <c r="H690" s="37"/>
    </row>
    <row r="691">
      <c r="H691" s="37"/>
    </row>
    <row r="692">
      <c r="H692" s="37"/>
    </row>
    <row r="693">
      <c r="H693" s="37"/>
    </row>
    <row r="694">
      <c r="H694" s="37"/>
    </row>
    <row r="695">
      <c r="H695" s="37"/>
    </row>
    <row r="696">
      <c r="H696" s="37"/>
    </row>
    <row r="697">
      <c r="H697" s="37"/>
    </row>
    <row r="698">
      <c r="H698" s="37"/>
    </row>
    <row r="699">
      <c r="H699" s="37"/>
    </row>
    <row r="700">
      <c r="H700" s="37"/>
    </row>
    <row r="701">
      <c r="H701" s="37"/>
    </row>
    <row r="702">
      <c r="H702" s="37"/>
    </row>
    <row r="703">
      <c r="H703" s="37"/>
    </row>
    <row r="704">
      <c r="H704" s="37"/>
    </row>
    <row r="705">
      <c r="H705" s="37"/>
    </row>
    <row r="706">
      <c r="H706" s="37"/>
    </row>
    <row r="707">
      <c r="H707" s="37"/>
    </row>
    <row r="708">
      <c r="H708" s="37"/>
    </row>
    <row r="709">
      <c r="H709" s="37"/>
    </row>
    <row r="710">
      <c r="H710" s="37"/>
    </row>
    <row r="711">
      <c r="H711" s="37"/>
    </row>
    <row r="712">
      <c r="H712" s="37"/>
    </row>
    <row r="713">
      <c r="H713" s="37"/>
    </row>
    <row r="714">
      <c r="H714" s="37"/>
    </row>
    <row r="715">
      <c r="H715" s="37"/>
    </row>
    <row r="716">
      <c r="H716" s="37"/>
    </row>
    <row r="717">
      <c r="H717" s="37"/>
    </row>
    <row r="718">
      <c r="H718" s="37"/>
    </row>
    <row r="719">
      <c r="H719" s="37"/>
    </row>
    <row r="720">
      <c r="H720" s="37"/>
    </row>
    <row r="721">
      <c r="H721" s="37"/>
    </row>
    <row r="722">
      <c r="H722" s="37"/>
    </row>
    <row r="723">
      <c r="H723" s="37"/>
    </row>
    <row r="724">
      <c r="H724" s="37"/>
    </row>
    <row r="725">
      <c r="H725" s="37"/>
    </row>
    <row r="726">
      <c r="H726" s="37"/>
    </row>
    <row r="727">
      <c r="H727" s="37"/>
    </row>
    <row r="728">
      <c r="H728" s="37"/>
    </row>
    <row r="729">
      <c r="H729" s="37"/>
    </row>
    <row r="730">
      <c r="H730" s="37"/>
    </row>
    <row r="731">
      <c r="H731" s="37"/>
    </row>
    <row r="732">
      <c r="H732" s="37"/>
    </row>
    <row r="733">
      <c r="H733" s="37"/>
    </row>
    <row r="734">
      <c r="H734" s="37"/>
    </row>
    <row r="735">
      <c r="H735" s="37"/>
    </row>
    <row r="736">
      <c r="H736" s="37"/>
    </row>
    <row r="737">
      <c r="H737" s="37"/>
    </row>
    <row r="738">
      <c r="H738" s="37"/>
    </row>
    <row r="739">
      <c r="H739" s="37"/>
    </row>
    <row r="740">
      <c r="H740" s="37"/>
    </row>
    <row r="741">
      <c r="H741" s="37"/>
    </row>
    <row r="742">
      <c r="H742" s="37"/>
    </row>
    <row r="743">
      <c r="H743" s="37"/>
    </row>
    <row r="744">
      <c r="H744" s="37"/>
    </row>
    <row r="745">
      <c r="H745" s="37"/>
    </row>
    <row r="746">
      <c r="H746" s="37"/>
    </row>
    <row r="747">
      <c r="H747" s="37"/>
    </row>
    <row r="748">
      <c r="H748" s="37"/>
    </row>
    <row r="749">
      <c r="H749" s="37"/>
    </row>
    <row r="750">
      <c r="H750" s="37"/>
    </row>
    <row r="751">
      <c r="H751" s="37"/>
    </row>
    <row r="752">
      <c r="H752" s="37"/>
    </row>
    <row r="753">
      <c r="H753" s="37"/>
    </row>
    <row r="754">
      <c r="H754" s="37"/>
    </row>
    <row r="755">
      <c r="H755" s="37"/>
    </row>
    <row r="756">
      <c r="H756" s="37"/>
    </row>
    <row r="757">
      <c r="H757" s="37"/>
    </row>
    <row r="758">
      <c r="H758" s="37"/>
    </row>
    <row r="759">
      <c r="H759" s="37"/>
    </row>
    <row r="760">
      <c r="H760" s="37"/>
    </row>
    <row r="761">
      <c r="H761" s="37"/>
    </row>
    <row r="762">
      <c r="H762" s="37"/>
    </row>
    <row r="763">
      <c r="H763" s="37"/>
    </row>
    <row r="764">
      <c r="H764" s="37"/>
    </row>
    <row r="765">
      <c r="H765" s="37"/>
    </row>
    <row r="766">
      <c r="H766" s="37"/>
    </row>
    <row r="767">
      <c r="H767" s="37"/>
    </row>
    <row r="768">
      <c r="H768" s="37"/>
    </row>
    <row r="769">
      <c r="H769" s="37"/>
    </row>
    <row r="770">
      <c r="H770" s="37"/>
    </row>
    <row r="771">
      <c r="H771" s="37"/>
    </row>
    <row r="772">
      <c r="H772" s="37"/>
    </row>
    <row r="773">
      <c r="H773" s="37"/>
    </row>
    <row r="774">
      <c r="H774" s="37"/>
    </row>
    <row r="775">
      <c r="H775" s="37"/>
    </row>
    <row r="776">
      <c r="H776" s="37"/>
    </row>
    <row r="777">
      <c r="H777" s="37"/>
    </row>
    <row r="778">
      <c r="H778" s="37"/>
    </row>
    <row r="779">
      <c r="H779" s="37"/>
    </row>
    <row r="780">
      <c r="H780" s="37"/>
    </row>
    <row r="781">
      <c r="H781" s="37"/>
    </row>
    <row r="782">
      <c r="H782" s="37"/>
    </row>
    <row r="783">
      <c r="H783" s="37"/>
    </row>
    <row r="784">
      <c r="H784" s="37"/>
    </row>
    <row r="785">
      <c r="H785" s="37"/>
    </row>
    <row r="786">
      <c r="H786" s="37"/>
    </row>
    <row r="787">
      <c r="H787" s="37"/>
    </row>
    <row r="788">
      <c r="H788" s="37"/>
    </row>
    <row r="789">
      <c r="H789" s="37"/>
    </row>
    <row r="790">
      <c r="H790" s="37"/>
    </row>
    <row r="791">
      <c r="H791" s="37"/>
    </row>
    <row r="792">
      <c r="H792" s="37"/>
    </row>
    <row r="793">
      <c r="H793" s="37"/>
    </row>
    <row r="794">
      <c r="H794" s="37"/>
    </row>
    <row r="795">
      <c r="H795" s="37"/>
    </row>
    <row r="796">
      <c r="H796" s="37"/>
    </row>
    <row r="797">
      <c r="H797" s="37"/>
    </row>
    <row r="798">
      <c r="H798" s="37"/>
    </row>
    <row r="799">
      <c r="H799" s="37"/>
    </row>
    <row r="800">
      <c r="H800" s="37"/>
    </row>
    <row r="801">
      <c r="H801" s="37"/>
    </row>
    <row r="802">
      <c r="H802" s="37"/>
    </row>
    <row r="803">
      <c r="H803" s="37"/>
    </row>
    <row r="804">
      <c r="H804" s="37"/>
    </row>
    <row r="805">
      <c r="H805" s="37"/>
    </row>
    <row r="806">
      <c r="H806" s="37"/>
    </row>
    <row r="807">
      <c r="H807" s="37"/>
    </row>
    <row r="808">
      <c r="H808" s="37"/>
    </row>
    <row r="809">
      <c r="H809" s="37"/>
    </row>
    <row r="810">
      <c r="H810" s="37"/>
    </row>
    <row r="811">
      <c r="H811" s="37"/>
    </row>
    <row r="812">
      <c r="H812" s="37"/>
    </row>
    <row r="813">
      <c r="H813" s="37"/>
    </row>
    <row r="814">
      <c r="H814" s="37"/>
    </row>
    <row r="815">
      <c r="H815" s="37"/>
    </row>
    <row r="816">
      <c r="H816" s="37"/>
    </row>
    <row r="817">
      <c r="H817" s="37"/>
    </row>
    <row r="818">
      <c r="H818" s="37"/>
    </row>
    <row r="819">
      <c r="H819" s="37"/>
    </row>
    <row r="820">
      <c r="H820" s="37"/>
    </row>
    <row r="821">
      <c r="H821" s="37"/>
    </row>
    <row r="822">
      <c r="H822" s="37"/>
    </row>
    <row r="823">
      <c r="H823" s="37"/>
    </row>
    <row r="824">
      <c r="H824" s="37"/>
    </row>
    <row r="825">
      <c r="H825" s="37"/>
    </row>
    <row r="826">
      <c r="H826" s="37"/>
    </row>
    <row r="827">
      <c r="H827" s="37"/>
    </row>
    <row r="828">
      <c r="H828" s="37"/>
    </row>
    <row r="829">
      <c r="H829" s="37"/>
    </row>
    <row r="830">
      <c r="H830" s="37"/>
    </row>
    <row r="831">
      <c r="H831" s="37"/>
    </row>
    <row r="832">
      <c r="H832" s="37"/>
    </row>
    <row r="833">
      <c r="H833" s="37"/>
    </row>
    <row r="834">
      <c r="H834" s="37"/>
    </row>
    <row r="835">
      <c r="H835" s="37"/>
    </row>
    <row r="836">
      <c r="H836" s="37"/>
    </row>
    <row r="837">
      <c r="H837" s="37"/>
    </row>
    <row r="838">
      <c r="H838" s="37"/>
    </row>
    <row r="839">
      <c r="H839" s="37"/>
    </row>
    <row r="840">
      <c r="H840" s="37"/>
    </row>
    <row r="841">
      <c r="H841" s="37"/>
    </row>
    <row r="842">
      <c r="H842" s="37"/>
    </row>
    <row r="843">
      <c r="H843" s="37"/>
    </row>
    <row r="844">
      <c r="H844" s="37"/>
    </row>
    <row r="845">
      <c r="H845" s="37"/>
    </row>
    <row r="846">
      <c r="H846" s="37"/>
    </row>
    <row r="847">
      <c r="H847" s="37"/>
    </row>
    <row r="848">
      <c r="H848" s="37"/>
    </row>
    <row r="849">
      <c r="H849" s="37"/>
    </row>
    <row r="850">
      <c r="H850" s="37"/>
    </row>
    <row r="851">
      <c r="H851" s="37"/>
    </row>
    <row r="852">
      <c r="H852" s="37"/>
    </row>
    <row r="853">
      <c r="H853" s="37"/>
    </row>
    <row r="854">
      <c r="H854" s="37"/>
    </row>
    <row r="855">
      <c r="H855" s="37"/>
    </row>
    <row r="856">
      <c r="H856" s="37"/>
    </row>
    <row r="857">
      <c r="H857" s="37"/>
    </row>
    <row r="858">
      <c r="H858" s="37"/>
    </row>
    <row r="859">
      <c r="H859" s="37"/>
    </row>
    <row r="860">
      <c r="H860" s="37"/>
    </row>
    <row r="861">
      <c r="H861" s="37"/>
    </row>
    <row r="862">
      <c r="H862" s="37"/>
    </row>
    <row r="863">
      <c r="H863" s="37"/>
    </row>
    <row r="864">
      <c r="H864" s="37"/>
    </row>
    <row r="865">
      <c r="H865" s="37"/>
    </row>
    <row r="866">
      <c r="H866" s="37"/>
    </row>
    <row r="867">
      <c r="H867" s="37"/>
    </row>
    <row r="868">
      <c r="H868" s="37"/>
    </row>
    <row r="869">
      <c r="H869" s="37"/>
    </row>
    <row r="870">
      <c r="H870" s="37"/>
    </row>
    <row r="871">
      <c r="H871" s="37"/>
    </row>
    <row r="872">
      <c r="H872" s="37"/>
    </row>
    <row r="873">
      <c r="H873" s="37"/>
    </row>
    <row r="874">
      <c r="H874" s="37"/>
    </row>
    <row r="875">
      <c r="H875" s="37"/>
    </row>
    <row r="876">
      <c r="H876" s="37"/>
    </row>
    <row r="877">
      <c r="H877" s="37"/>
    </row>
    <row r="878">
      <c r="H878" s="37"/>
    </row>
    <row r="879">
      <c r="H879" s="37"/>
    </row>
    <row r="880">
      <c r="H880" s="37"/>
    </row>
    <row r="881">
      <c r="H881" s="37"/>
    </row>
    <row r="882">
      <c r="H882" s="37"/>
    </row>
    <row r="883">
      <c r="H883" s="37"/>
    </row>
    <row r="884">
      <c r="H884" s="37"/>
    </row>
    <row r="885">
      <c r="H885" s="37"/>
    </row>
    <row r="886">
      <c r="H886" s="37"/>
    </row>
    <row r="887">
      <c r="H887" s="37"/>
    </row>
    <row r="888">
      <c r="H888" s="37"/>
    </row>
    <row r="889">
      <c r="H889" s="37"/>
    </row>
    <row r="890">
      <c r="H890" s="37"/>
    </row>
    <row r="891">
      <c r="H891" s="37"/>
    </row>
    <row r="892">
      <c r="H892" s="37"/>
    </row>
    <row r="893">
      <c r="H893" s="37"/>
    </row>
    <row r="894">
      <c r="H894" s="37"/>
    </row>
    <row r="895">
      <c r="H895" s="37"/>
    </row>
    <row r="896">
      <c r="H896" s="37"/>
    </row>
    <row r="897">
      <c r="H897" s="37"/>
    </row>
    <row r="898">
      <c r="H898" s="37"/>
    </row>
    <row r="899">
      <c r="H899" s="37"/>
    </row>
    <row r="900">
      <c r="H900" s="37"/>
    </row>
    <row r="901">
      <c r="H901" s="37"/>
    </row>
    <row r="902">
      <c r="H902" s="37"/>
    </row>
    <row r="903">
      <c r="H903" s="37"/>
    </row>
    <row r="904">
      <c r="H904" s="37"/>
    </row>
    <row r="905">
      <c r="H905" s="37"/>
    </row>
    <row r="906">
      <c r="H906" s="37"/>
    </row>
    <row r="907">
      <c r="H907" s="37"/>
    </row>
    <row r="908">
      <c r="H908" s="37"/>
    </row>
    <row r="909">
      <c r="H909" s="37"/>
    </row>
    <row r="910">
      <c r="H910" s="37"/>
    </row>
    <row r="911">
      <c r="H911" s="37"/>
    </row>
    <row r="912">
      <c r="H912" s="37"/>
    </row>
    <row r="913">
      <c r="H913" s="37"/>
    </row>
    <row r="914">
      <c r="H914" s="37"/>
    </row>
    <row r="915">
      <c r="H915" s="37"/>
    </row>
    <row r="916">
      <c r="H916" s="37"/>
    </row>
    <row r="917">
      <c r="H917" s="37"/>
    </row>
    <row r="918">
      <c r="H918" s="37"/>
    </row>
    <row r="919">
      <c r="H919" s="37"/>
    </row>
    <row r="920">
      <c r="H920" s="37"/>
    </row>
    <row r="921">
      <c r="H921" s="37"/>
    </row>
    <row r="922">
      <c r="H922" s="37"/>
    </row>
    <row r="923">
      <c r="H923" s="37"/>
    </row>
    <row r="924">
      <c r="H924" s="37"/>
    </row>
    <row r="925">
      <c r="H925" s="37"/>
    </row>
    <row r="926">
      <c r="H926" s="37"/>
    </row>
    <row r="927">
      <c r="H927" s="37"/>
    </row>
    <row r="928">
      <c r="H928" s="37"/>
    </row>
    <row r="929">
      <c r="H929" s="37"/>
    </row>
    <row r="930">
      <c r="H930" s="37"/>
    </row>
    <row r="931">
      <c r="H931" s="37"/>
    </row>
    <row r="932">
      <c r="H932" s="37"/>
    </row>
    <row r="933">
      <c r="H933" s="37"/>
    </row>
    <row r="934">
      <c r="H934" s="37"/>
    </row>
    <row r="935">
      <c r="H935" s="37"/>
    </row>
    <row r="936">
      <c r="H936" s="37"/>
    </row>
    <row r="937">
      <c r="H937" s="37"/>
    </row>
    <row r="938">
      <c r="H938" s="37"/>
    </row>
    <row r="939">
      <c r="H939" s="37"/>
    </row>
    <row r="940">
      <c r="H940" s="37"/>
    </row>
    <row r="941">
      <c r="H941" s="37"/>
    </row>
    <row r="942">
      <c r="H942" s="37"/>
    </row>
    <row r="943">
      <c r="H943" s="37"/>
    </row>
    <row r="944">
      <c r="H944" s="37"/>
    </row>
    <row r="945">
      <c r="H945" s="37"/>
    </row>
    <row r="946">
      <c r="H946" s="37"/>
    </row>
    <row r="947">
      <c r="H947" s="37"/>
    </row>
    <row r="948">
      <c r="H948" s="37"/>
    </row>
    <row r="949">
      <c r="H949" s="37"/>
    </row>
    <row r="950">
      <c r="H950" s="37"/>
    </row>
    <row r="951">
      <c r="H951" s="37"/>
    </row>
    <row r="952">
      <c r="H952" s="37"/>
    </row>
    <row r="953">
      <c r="H953" s="37"/>
    </row>
    <row r="954">
      <c r="H954" s="37"/>
    </row>
    <row r="955">
      <c r="H955" s="37"/>
    </row>
    <row r="956">
      <c r="H956" s="37"/>
    </row>
    <row r="957">
      <c r="H957" s="37"/>
    </row>
    <row r="958">
      <c r="H958" s="37"/>
    </row>
    <row r="959">
      <c r="H959" s="37"/>
    </row>
    <row r="960">
      <c r="H960" s="37"/>
    </row>
    <row r="961">
      <c r="H961" s="37"/>
    </row>
    <row r="962">
      <c r="H962" s="37"/>
    </row>
    <row r="963">
      <c r="H963" s="37"/>
    </row>
    <row r="964">
      <c r="H964" s="37"/>
    </row>
    <row r="965">
      <c r="H965" s="37"/>
    </row>
    <row r="966">
      <c r="H966" s="37"/>
    </row>
    <row r="967">
      <c r="H967" s="37"/>
    </row>
    <row r="968">
      <c r="H968" s="37"/>
    </row>
    <row r="969">
      <c r="H969" s="37"/>
    </row>
    <row r="970">
      <c r="H970" s="37"/>
    </row>
    <row r="971">
      <c r="H971" s="37"/>
    </row>
    <row r="972">
      <c r="H972" s="37"/>
    </row>
    <row r="973">
      <c r="H973" s="37"/>
    </row>
    <row r="974">
      <c r="H974" s="37"/>
    </row>
    <row r="975">
      <c r="H975" s="37"/>
    </row>
    <row r="976">
      <c r="H976" s="37"/>
    </row>
    <row r="977">
      <c r="H977" s="37"/>
    </row>
    <row r="978">
      <c r="H978" s="37"/>
    </row>
    <row r="979">
      <c r="H979" s="37"/>
    </row>
    <row r="980">
      <c r="H980" s="37"/>
    </row>
    <row r="981">
      <c r="H981" s="37"/>
    </row>
    <row r="982">
      <c r="H982" s="37"/>
    </row>
    <row r="983">
      <c r="H983" s="37"/>
    </row>
    <row r="984">
      <c r="H984" s="37"/>
    </row>
    <row r="985">
      <c r="H985" s="37"/>
    </row>
    <row r="986">
      <c r="H986" s="37"/>
    </row>
    <row r="987">
      <c r="H987" s="37"/>
    </row>
    <row r="988">
      <c r="H988" s="37"/>
    </row>
    <row r="989">
      <c r="H989" s="37"/>
    </row>
    <row r="990">
      <c r="H990" s="37"/>
    </row>
    <row r="991">
      <c r="H991" s="37"/>
    </row>
    <row r="992">
      <c r="H992" s="37"/>
    </row>
    <row r="993">
      <c r="H993" s="37"/>
    </row>
    <row r="994">
      <c r="H994" s="37"/>
    </row>
    <row r="995">
      <c r="H995" s="37"/>
    </row>
    <row r="996">
      <c r="H996" s="37"/>
    </row>
    <row r="997">
      <c r="H997" s="37"/>
    </row>
    <row r="998">
      <c r="H998" s="37"/>
    </row>
    <row r="999">
      <c r="H999" s="37"/>
    </row>
    <row r="1000">
      <c r="H1000" s="3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29"/>
    <col customWidth="1" min="2" max="2" width="7.57"/>
    <col customWidth="1" min="3" max="3" width="13.86"/>
    <col customWidth="1" min="4" max="4" width="11.86"/>
    <col customWidth="1" min="5" max="5" width="13.71"/>
    <col customWidth="1" min="6" max="7" width="11.86"/>
    <col customWidth="1" min="8" max="8" width="10.29"/>
    <col customWidth="1" min="9" max="9" width="13.14"/>
    <col customWidth="1" min="10" max="10" width="12.86"/>
    <col customWidth="1" min="11" max="11" width="13.0"/>
    <col customWidth="1" min="12" max="12" width="8.71"/>
    <col customWidth="1" min="13" max="15" width="14.57"/>
    <col customWidth="1" min="16" max="16" width="8.71"/>
    <col customWidth="1" min="17" max="17" width="13.71"/>
    <col customWidth="1" min="18" max="18" width="10.14"/>
    <col customWidth="1" min="19" max="25" width="17.0"/>
    <col customWidth="1" min="26" max="26" width="12.86"/>
    <col customWidth="1" min="27" max="27" width="14.29"/>
    <col customWidth="1" min="28" max="28" width="8.71"/>
    <col customWidth="1" min="29" max="29" width="14.71"/>
    <col customWidth="1" min="30" max="49" width="17.0"/>
    <col customWidth="1" min="50" max="51" width="13.86"/>
    <col customWidth="1" min="52" max="52" width="12.86"/>
    <col customWidth="1" min="53" max="53" width="13.86"/>
    <col customWidth="1" min="54" max="57" width="8.71"/>
    <col customWidth="1" min="58" max="58" width="10.29"/>
    <col customWidth="1" min="59" max="61" width="13.86"/>
    <col customWidth="1" min="62" max="62" width="11.86"/>
    <col customWidth="1" min="63" max="63" width="13.86"/>
    <col customWidth="1" min="64" max="67" width="14.57"/>
    <col customWidth="1" min="68" max="69" width="8.71"/>
    <col customWidth="1" min="70" max="70" width="12.86"/>
    <col customWidth="1" min="71" max="71" width="13.86"/>
    <col customWidth="1" min="72" max="82" width="8.71"/>
  </cols>
  <sheetData>
    <row r="1" ht="15.75" customHeight="1">
      <c r="A1" s="3" t="s">
        <v>150</v>
      </c>
      <c r="B1" s="4" t="s">
        <v>83</v>
      </c>
      <c r="C1" s="4" t="s">
        <v>276</v>
      </c>
      <c r="D1" s="4" t="s">
        <v>85</v>
      </c>
      <c r="E1" s="4" t="s">
        <v>277</v>
      </c>
      <c r="F1" s="4" t="s">
        <v>87</v>
      </c>
      <c r="G1" s="4" t="s">
        <v>278</v>
      </c>
      <c r="H1" s="4" t="s">
        <v>89</v>
      </c>
      <c r="I1" s="4" t="s">
        <v>279</v>
      </c>
      <c r="J1" s="4" t="s">
        <v>93</v>
      </c>
      <c r="K1" s="4" t="s">
        <v>280</v>
      </c>
      <c r="L1" s="4" t="s">
        <v>99</v>
      </c>
      <c r="M1" s="4" t="s">
        <v>281</v>
      </c>
      <c r="N1" s="4" t="s">
        <v>101</v>
      </c>
      <c r="O1" s="4" t="s">
        <v>282</v>
      </c>
      <c r="P1" s="4" t="s">
        <v>97</v>
      </c>
      <c r="Q1" s="4" t="s">
        <v>283</v>
      </c>
      <c r="R1" s="4" t="s">
        <v>103</v>
      </c>
      <c r="S1" s="4" t="s">
        <v>284</v>
      </c>
      <c r="T1" s="4" t="s">
        <v>105</v>
      </c>
      <c r="U1" s="4" t="s">
        <v>285</v>
      </c>
      <c r="V1" s="4" t="s">
        <v>111</v>
      </c>
      <c r="W1" s="4" t="s">
        <v>286</v>
      </c>
      <c r="X1" s="4" t="s">
        <v>117</v>
      </c>
      <c r="Y1" s="4" t="s">
        <v>287</v>
      </c>
      <c r="Z1" s="4" t="s">
        <v>91</v>
      </c>
      <c r="AA1" s="4" t="s">
        <v>288</v>
      </c>
      <c r="AB1" s="4" t="s">
        <v>95</v>
      </c>
      <c r="AC1" s="4" t="s">
        <v>289</v>
      </c>
      <c r="AD1" s="4" t="s">
        <v>107</v>
      </c>
      <c r="AE1" s="4" t="s">
        <v>290</v>
      </c>
      <c r="AF1" s="4" t="s">
        <v>109</v>
      </c>
      <c r="AG1" s="4" t="s">
        <v>291</v>
      </c>
      <c r="AH1" s="4" t="s">
        <v>113</v>
      </c>
      <c r="AI1" s="4" t="s">
        <v>292</v>
      </c>
      <c r="AJ1" s="4" t="s">
        <v>115</v>
      </c>
      <c r="AK1" s="4" t="s">
        <v>293</v>
      </c>
      <c r="AL1" s="4" t="s">
        <v>119</v>
      </c>
      <c r="AM1" s="4" t="s">
        <v>294</v>
      </c>
      <c r="AN1" s="4" t="s">
        <v>121</v>
      </c>
      <c r="AO1" s="4" t="s">
        <v>295</v>
      </c>
      <c r="AP1" s="4" t="s">
        <v>123</v>
      </c>
      <c r="AQ1" s="4" t="s">
        <v>296</v>
      </c>
      <c r="AR1" s="4" t="s">
        <v>125</v>
      </c>
      <c r="AS1" s="4" t="s">
        <v>297</v>
      </c>
      <c r="AT1" s="4" t="s">
        <v>127</v>
      </c>
      <c r="AU1" s="4" t="s">
        <v>298</v>
      </c>
      <c r="AV1" s="4" t="s">
        <v>128</v>
      </c>
      <c r="AW1" s="4" t="s">
        <v>299</v>
      </c>
      <c r="AX1" s="4">
        <v>8064.0</v>
      </c>
      <c r="AY1" s="4" t="s">
        <v>300</v>
      </c>
      <c r="AZ1" s="4">
        <v>3711.0</v>
      </c>
      <c r="BA1" s="4" t="s">
        <v>301</v>
      </c>
      <c r="BB1" s="4">
        <v>2049.0</v>
      </c>
      <c r="BC1" s="4" t="s">
        <v>302</v>
      </c>
      <c r="BD1" s="4">
        <v>3406.0</v>
      </c>
      <c r="BE1" s="4" t="s">
        <v>303</v>
      </c>
      <c r="BF1" s="4">
        <v>2454.0</v>
      </c>
      <c r="BG1" s="4" t="s">
        <v>304</v>
      </c>
      <c r="BH1" s="4">
        <v>1582.0</v>
      </c>
      <c r="BI1" s="4" t="s">
        <v>305</v>
      </c>
      <c r="BJ1" s="4">
        <v>8086.0</v>
      </c>
      <c r="BK1" s="4" t="s">
        <v>306</v>
      </c>
      <c r="BL1" s="4">
        <v>4916.0</v>
      </c>
      <c r="BM1" s="4" t="s">
        <v>307</v>
      </c>
      <c r="BN1" s="56">
        <v>3450.0</v>
      </c>
      <c r="BO1" s="56" t="s">
        <v>308</v>
      </c>
      <c r="BP1" s="4">
        <v>3035.0</v>
      </c>
      <c r="BQ1" s="4" t="s">
        <v>309</v>
      </c>
      <c r="BR1" s="4">
        <v>2449.0</v>
      </c>
      <c r="BS1" s="4" t="s">
        <v>310</v>
      </c>
    </row>
    <row r="2" ht="15.75" customHeight="1">
      <c r="A2" s="61">
        <v>46104.0</v>
      </c>
      <c r="B2" s="4">
        <v>146886.0</v>
      </c>
      <c r="C2" s="25">
        <v>68.08</v>
      </c>
      <c r="D2" s="4">
        <v>75187.0</v>
      </c>
      <c r="E2" s="4">
        <v>66.5</v>
      </c>
      <c r="F2" s="4">
        <v>119904.0</v>
      </c>
      <c r="G2" s="4">
        <v>41.7</v>
      </c>
      <c r="H2" s="4">
        <v>68101.0</v>
      </c>
      <c r="I2" s="4">
        <v>73.42</v>
      </c>
      <c r="J2" s="4">
        <v>228832.0</v>
      </c>
      <c r="K2" s="4">
        <v>43.7</v>
      </c>
      <c r="Z2" s="4">
        <v>271149.0</v>
      </c>
      <c r="AA2" s="4">
        <v>18.44</v>
      </c>
      <c r="AX2" s="4">
        <v>7670127.0</v>
      </c>
      <c r="AY2" s="4">
        <v>2.17</v>
      </c>
      <c r="AZ2" s="4">
        <v>1003448.0</v>
      </c>
      <c r="BA2" s="4">
        <v>9.97</v>
      </c>
      <c r="BF2" s="4">
        <v>196380.0</v>
      </c>
      <c r="BG2" s="4">
        <v>50.92</v>
      </c>
      <c r="BH2" s="4"/>
      <c r="BI2" s="4"/>
      <c r="BJ2" s="4">
        <v>1255294.0</v>
      </c>
      <c r="BK2" s="4">
        <v>3.98</v>
      </c>
      <c r="BN2" s="37"/>
      <c r="BO2" s="37"/>
      <c r="BR2" s="4">
        <v>1075966.0</v>
      </c>
      <c r="BS2" s="4">
        <v>9.3</v>
      </c>
    </row>
    <row r="3" ht="15.75" customHeight="1">
      <c r="A3" s="61">
        <v>46105.0</v>
      </c>
      <c r="B3" s="4">
        <v>146886.0</v>
      </c>
      <c r="C3" s="84"/>
      <c r="D3" s="4">
        <v>75187.0</v>
      </c>
      <c r="F3" s="4">
        <v>119904.0</v>
      </c>
      <c r="H3" s="4">
        <v>68101.0</v>
      </c>
      <c r="J3" s="4">
        <v>228832.0</v>
      </c>
      <c r="Z3" s="4">
        <v>271149.0</v>
      </c>
      <c r="AX3" s="4">
        <v>7670127.0</v>
      </c>
      <c r="AZ3" s="4">
        <v>1003448.0</v>
      </c>
      <c r="BF3" s="4">
        <v>196380.0</v>
      </c>
      <c r="BJ3" s="4">
        <v>1255294.0</v>
      </c>
      <c r="BN3" s="37"/>
      <c r="BO3" s="37"/>
      <c r="BR3" s="4">
        <v>1075966.0</v>
      </c>
    </row>
    <row r="4" ht="15.75" customHeight="1">
      <c r="A4" s="61">
        <v>46106.0</v>
      </c>
      <c r="B4" s="4">
        <v>146886.0</v>
      </c>
      <c r="C4" s="84"/>
      <c r="D4" s="4">
        <v>75187.0</v>
      </c>
      <c r="F4" s="4">
        <v>119904.0</v>
      </c>
      <c r="H4" s="4">
        <v>68101.0</v>
      </c>
      <c r="J4" s="4">
        <v>228832.0</v>
      </c>
      <c r="Z4" s="4">
        <v>271149.0</v>
      </c>
      <c r="AX4" s="4">
        <v>7670127.0</v>
      </c>
      <c r="AZ4" s="4">
        <v>1003448.0</v>
      </c>
      <c r="BF4" s="4">
        <v>196380.0</v>
      </c>
      <c r="BJ4" s="4">
        <v>1255294.0</v>
      </c>
      <c r="BN4" s="37"/>
      <c r="BO4" s="37"/>
      <c r="BR4" s="4">
        <v>1075966.0</v>
      </c>
    </row>
    <row r="5" ht="15.75" customHeight="1">
      <c r="A5" s="61">
        <v>46107.0</v>
      </c>
      <c r="B5" s="4">
        <v>146886.0</v>
      </c>
      <c r="C5" s="84"/>
      <c r="D5" s="4">
        <v>75187.0</v>
      </c>
      <c r="F5" s="4">
        <v>119904.0</v>
      </c>
      <c r="H5" s="4">
        <v>68101.0</v>
      </c>
      <c r="J5" s="4">
        <v>228832.0</v>
      </c>
      <c r="Z5" s="4">
        <v>271149.0</v>
      </c>
      <c r="AX5" s="4">
        <v>7670127.0</v>
      </c>
      <c r="AZ5" s="4">
        <v>1003448.0</v>
      </c>
      <c r="BF5" s="4">
        <v>196380.0</v>
      </c>
      <c r="BJ5" s="4">
        <v>1255294.0</v>
      </c>
      <c r="BN5" s="37"/>
      <c r="BO5" s="37"/>
      <c r="BR5" s="4">
        <v>1075966.0</v>
      </c>
    </row>
    <row r="6" ht="15.75" customHeight="1">
      <c r="A6" s="61">
        <v>46108.0</v>
      </c>
      <c r="B6" s="4">
        <v>146886.0</v>
      </c>
      <c r="D6" s="4">
        <v>75187.0</v>
      </c>
      <c r="F6" s="4">
        <v>119904.0</v>
      </c>
      <c r="H6" s="4">
        <v>68101.0</v>
      </c>
      <c r="J6" s="4">
        <v>228832.0</v>
      </c>
      <c r="Z6" s="4">
        <v>271149.0</v>
      </c>
      <c r="AX6" s="4">
        <v>7670127.0</v>
      </c>
      <c r="AZ6" s="4">
        <v>1003448.0</v>
      </c>
      <c r="BF6" s="4">
        <v>196380.0</v>
      </c>
      <c r="BG6" s="4"/>
      <c r="BI6" s="4"/>
      <c r="BJ6" s="4">
        <v>1255294.0</v>
      </c>
      <c r="BN6" s="37"/>
      <c r="BO6" s="37"/>
      <c r="BR6" s="4">
        <v>1075966.0</v>
      </c>
    </row>
    <row r="7" ht="15.75" customHeight="1">
      <c r="A7" s="66">
        <v>46111.0</v>
      </c>
      <c r="B7" s="85">
        <v>0.0</v>
      </c>
      <c r="C7" s="86">
        <v>61.45</v>
      </c>
      <c r="D7" s="87">
        <v>0.0</v>
      </c>
      <c r="E7" s="86">
        <v>65.68</v>
      </c>
      <c r="F7" s="41">
        <v>119904.0</v>
      </c>
      <c r="G7" s="88"/>
      <c r="H7" s="41">
        <v>68101.0</v>
      </c>
      <c r="I7" s="88"/>
      <c r="J7" s="41">
        <v>228832.0</v>
      </c>
      <c r="K7" s="88"/>
      <c r="L7" s="41">
        <v>235448.0</v>
      </c>
      <c r="M7" s="41">
        <v>19.77</v>
      </c>
      <c r="N7" s="41"/>
      <c r="O7" s="41"/>
      <c r="P7" s="41">
        <v>55460.0</v>
      </c>
      <c r="Q7" s="41">
        <v>83.93</v>
      </c>
      <c r="R7" s="41"/>
      <c r="S7" s="41"/>
      <c r="T7" s="41"/>
      <c r="U7" s="41"/>
      <c r="V7" s="41"/>
      <c r="W7" s="41"/>
      <c r="X7" s="41"/>
      <c r="Y7" s="41"/>
      <c r="Z7" s="41">
        <v>271149.0</v>
      </c>
      <c r="AA7" s="88"/>
      <c r="AB7" s="41">
        <v>137431.0</v>
      </c>
      <c r="AC7" s="41">
        <v>33.87</v>
      </c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>
        <v>7670127.0</v>
      </c>
      <c r="AY7" s="88"/>
      <c r="AZ7" s="41">
        <v>1003448.0</v>
      </c>
      <c r="BA7" s="88"/>
      <c r="BB7" s="39"/>
      <c r="BC7" s="39"/>
      <c r="BD7" s="39"/>
      <c r="BE7" s="39"/>
      <c r="BF7" s="87">
        <v>0.0</v>
      </c>
      <c r="BG7" s="89">
        <v>48.74</v>
      </c>
      <c r="BH7" s="87">
        <v>2826403.0</v>
      </c>
      <c r="BI7" s="86">
        <v>3.34</v>
      </c>
      <c r="BJ7" s="41">
        <v>1255294.0</v>
      </c>
      <c r="BK7" s="88"/>
      <c r="BL7" s="41"/>
      <c r="BM7" s="41"/>
      <c r="BN7" s="90"/>
      <c r="BO7" s="90"/>
      <c r="BP7" s="39"/>
      <c r="BQ7" s="39"/>
      <c r="BR7" s="41">
        <v>1075966.0</v>
      </c>
      <c r="BS7" s="91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</row>
    <row r="8" ht="15.75" customHeight="1">
      <c r="A8" s="61">
        <v>46112.0</v>
      </c>
      <c r="F8" s="4">
        <v>119904.0</v>
      </c>
      <c r="H8" s="4">
        <v>68101.0</v>
      </c>
      <c r="J8" s="4">
        <v>228832.0</v>
      </c>
      <c r="L8" s="4">
        <v>235448.0</v>
      </c>
      <c r="P8" s="4">
        <v>55460.0</v>
      </c>
      <c r="Z8" s="4">
        <v>271149.0</v>
      </c>
      <c r="AB8" s="4">
        <v>137431.0</v>
      </c>
      <c r="AX8" s="4">
        <v>7670127.0</v>
      </c>
      <c r="AZ8" s="4">
        <v>1003448.0</v>
      </c>
      <c r="BH8" s="92">
        <v>2826403.0</v>
      </c>
      <c r="BJ8" s="4">
        <v>1255294.0</v>
      </c>
      <c r="BN8" s="37"/>
      <c r="BO8" s="37"/>
      <c r="BR8" s="4">
        <v>1075966.0</v>
      </c>
    </row>
    <row r="9" ht="15.75" customHeight="1">
      <c r="A9" s="61">
        <v>46113.0</v>
      </c>
      <c r="C9" s="84"/>
      <c r="D9" s="84"/>
      <c r="E9" s="84"/>
      <c r="F9" s="4">
        <v>119904.0</v>
      </c>
      <c r="G9" s="84"/>
      <c r="H9" s="4">
        <v>68101.0</v>
      </c>
      <c r="I9" s="84"/>
      <c r="J9" s="4">
        <v>228832.0</v>
      </c>
      <c r="K9" s="84"/>
      <c r="L9" s="4">
        <v>235448.0</v>
      </c>
      <c r="P9" s="4">
        <v>55460.0</v>
      </c>
      <c r="Z9" s="4">
        <v>271149.0</v>
      </c>
      <c r="AA9" s="84"/>
      <c r="AB9" s="4">
        <v>137431.0</v>
      </c>
      <c r="AC9" s="84"/>
      <c r="AX9" s="4">
        <v>7670127.0</v>
      </c>
      <c r="AY9" s="84"/>
      <c r="AZ9" s="4">
        <v>1003448.0</v>
      </c>
      <c r="BA9" s="84"/>
      <c r="BF9" s="84"/>
      <c r="BG9" s="84"/>
      <c r="BH9" s="92">
        <v>2826403.0</v>
      </c>
      <c r="BI9" s="84"/>
      <c r="BJ9" s="4">
        <v>1255294.0</v>
      </c>
      <c r="BK9" s="84"/>
      <c r="BN9" s="37"/>
      <c r="BO9" s="37"/>
      <c r="BR9" s="4">
        <v>1075966.0</v>
      </c>
      <c r="BS9" s="84"/>
    </row>
    <row r="10" ht="15.75" customHeight="1">
      <c r="A10" s="61">
        <v>46114.0</v>
      </c>
      <c r="C10" s="84"/>
      <c r="F10" s="4">
        <v>119904.0</v>
      </c>
      <c r="H10" s="4">
        <v>68101.0</v>
      </c>
      <c r="J10" s="4">
        <v>228832.0</v>
      </c>
      <c r="L10" s="4">
        <v>235448.0</v>
      </c>
      <c r="P10" s="4">
        <v>55460.0</v>
      </c>
      <c r="Z10" s="4">
        <v>271149.0</v>
      </c>
      <c r="AB10" s="4">
        <v>137431.0</v>
      </c>
      <c r="AX10" s="4">
        <v>7670127.0</v>
      </c>
      <c r="AZ10" s="4">
        <v>1003448.0</v>
      </c>
      <c r="BH10" s="92">
        <v>2826403.0</v>
      </c>
      <c r="BJ10" s="4">
        <v>1255294.0</v>
      </c>
      <c r="BN10" s="37"/>
      <c r="BO10" s="37"/>
      <c r="BR10" s="4">
        <v>1075966.0</v>
      </c>
    </row>
    <row r="11" ht="15.75" customHeight="1">
      <c r="A11" s="61">
        <v>46118.0</v>
      </c>
      <c r="C11" s="84"/>
      <c r="F11" s="4">
        <v>119904.0</v>
      </c>
      <c r="H11" s="4">
        <v>68101.0</v>
      </c>
      <c r="J11" s="4">
        <v>228832.0</v>
      </c>
      <c r="L11" s="4">
        <v>235448.0</v>
      </c>
      <c r="P11" s="4">
        <v>55460.0</v>
      </c>
      <c r="Z11" s="4">
        <v>271149.0</v>
      </c>
      <c r="AB11" s="4">
        <v>137431.0</v>
      </c>
      <c r="AX11" s="4">
        <v>7670127.0</v>
      </c>
      <c r="AZ11" s="4">
        <v>1003448.0</v>
      </c>
      <c r="BH11" s="92">
        <v>2826403.0</v>
      </c>
      <c r="BJ11" s="4">
        <v>1255294.0</v>
      </c>
      <c r="BN11" s="37"/>
      <c r="BO11" s="37"/>
      <c r="BR11" s="4">
        <v>1075966.0</v>
      </c>
    </row>
    <row r="12" ht="15.75" customHeight="1">
      <c r="A12" s="61">
        <v>46119.0</v>
      </c>
      <c r="C12" s="84"/>
      <c r="F12" s="4">
        <v>119904.0</v>
      </c>
      <c r="H12" s="4">
        <v>68101.0</v>
      </c>
      <c r="J12" s="4">
        <v>228832.0</v>
      </c>
      <c r="L12" s="4">
        <v>235448.0</v>
      </c>
      <c r="P12" s="4">
        <v>55460.0</v>
      </c>
      <c r="Z12" s="4">
        <v>271149.0</v>
      </c>
      <c r="AB12" s="4">
        <v>137431.0</v>
      </c>
      <c r="AX12" s="4">
        <v>7670127.0</v>
      </c>
      <c r="AZ12" s="4">
        <v>1003448.0</v>
      </c>
      <c r="BH12" s="92">
        <v>2826403.0</v>
      </c>
      <c r="BJ12" s="4">
        <v>1255294.0</v>
      </c>
      <c r="BN12" s="37"/>
      <c r="BO12" s="37"/>
      <c r="BR12" s="4">
        <v>1075966.0</v>
      </c>
    </row>
    <row r="13" ht="15.75" customHeight="1">
      <c r="A13" s="61">
        <v>46120.0</v>
      </c>
      <c r="C13" s="84"/>
      <c r="F13" s="4">
        <v>119904.0</v>
      </c>
      <c r="H13" s="4">
        <v>68101.0</v>
      </c>
      <c r="J13" s="4">
        <v>228832.0</v>
      </c>
      <c r="L13" s="4">
        <v>235448.0</v>
      </c>
      <c r="P13" s="4">
        <v>55460.0</v>
      </c>
      <c r="Z13" s="4">
        <v>271149.0</v>
      </c>
      <c r="AB13" s="4">
        <v>137431.0</v>
      </c>
      <c r="AX13" s="4">
        <v>7670127.0</v>
      </c>
      <c r="AZ13" s="4">
        <v>1003448.0</v>
      </c>
      <c r="BH13" s="92">
        <v>2826403.0</v>
      </c>
      <c r="BJ13" s="4">
        <v>1255294.0</v>
      </c>
      <c r="BN13" s="37"/>
      <c r="BO13" s="37"/>
      <c r="BR13" s="4">
        <v>1075966.0</v>
      </c>
    </row>
    <row r="14" ht="15.75" customHeight="1">
      <c r="A14" s="61">
        <v>46121.0</v>
      </c>
      <c r="C14" s="84"/>
      <c r="F14" s="4">
        <v>119904.0</v>
      </c>
      <c r="H14" s="4">
        <v>68101.0</v>
      </c>
      <c r="J14" s="4">
        <v>228832.0</v>
      </c>
      <c r="L14" s="4">
        <v>235448.0</v>
      </c>
      <c r="P14" s="4">
        <v>55460.0</v>
      </c>
      <c r="Z14" s="4">
        <v>271149.0</v>
      </c>
      <c r="AB14" s="4">
        <v>137431.0</v>
      </c>
      <c r="AX14" s="4">
        <v>7670127.0</v>
      </c>
      <c r="AZ14" s="4">
        <v>1003448.0</v>
      </c>
      <c r="BH14" s="92">
        <v>2826403.0</v>
      </c>
      <c r="BJ14" s="4">
        <v>1255294.0</v>
      </c>
      <c r="BN14" s="37"/>
      <c r="BO14" s="37"/>
      <c r="BR14" s="4">
        <v>1075966.0</v>
      </c>
    </row>
    <row r="15" ht="15.75" customHeight="1">
      <c r="A15" s="61">
        <v>46122.0</v>
      </c>
      <c r="F15" s="4">
        <v>119904.0</v>
      </c>
      <c r="H15" s="4">
        <v>68101.0</v>
      </c>
      <c r="J15" s="4">
        <v>228832.0</v>
      </c>
      <c r="L15" s="4">
        <v>235448.0</v>
      </c>
      <c r="P15" s="4">
        <v>55460.0</v>
      </c>
      <c r="Z15" s="4">
        <v>271149.0</v>
      </c>
      <c r="AB15" s="4">
        <v>137431.0</v>
      </c>
      <c r="AX15" s="4">
        <v>7670127.0</v>
      </c>
      <c r="AZ15" s="4">
        <v>1003448.0</v>
      </c>
      <c r="BH15" s="92">
        <v>2826403.0</v>
      </c>
      <c r="BJ15" s="4">
        <v>1255294.0</v>
      </c>
      <c r="BN15" s="37"/>
      <c r="BO15" s="37"/>
      <c r="BR15" s="4">
        <v>1075966.0</v>
      </c>
    </row>
    <row r="16" ht="15.75" customHeight="1">
      <c r="A16" s="61">
        <v>46125.0</v>
      </c>
      <c r="F16" s="4">
        <v>0.0</v>
      </c>
      <c r="G16" s="4">
        <v>38.22</v>
      </c>
      <c r="H16" s="4">
        <v>68101.0</v>
      </c>
      <c r="J16" s="4">
        <v>228832.0</v>
      </c>
      <c r="L16" s="4">
        <v>235448.0</v>
      </c>
      <c r="N16" s="4">
        <v>63253.0</v>
      </c>
      <c r="O16" s="4">
        <v>72.45</v>
      </c>
      <c r="P16" s="4">
        <v>55460.0</v>
      </c>
      <c r="Z16" s="4">
        <v>271149.0</v>
      </c>
      <c r="AB16" s="4">
        <v>137431.0</v>
      </c>
      <c r="AX16" s="4">
        <v>7670127.0</v>
      </c>
      <c r="AZ16" s="4">
        <v>1003448.0</v>
      </c>
      <c r="BH16" s="92">
        <v>2826403.0</v>
      </c>
      <c r="BJ16" s="4">
        <v>1255294.0</v>
      </c>
      <c r="BL16" s="4"/>
      <c r="BM16" s="4"/>
      <c r="BN16" s="56">
        <v>981644.0</v>
      </c>
      <c r="BO16" s="56">
        <v>9.85</v>
      </c>
      <c r="BR16" s="4">
        <v>0.0</v>
      </c>
      <c r="BS16" s="4">
        <v>8.94</v>
      </c>
    </row>
    <row r="17" ht="15.75" customHeight="1">
      <c r="A17" s="61">
        <v>46126.0</v>
      </c>
      <c r="H17" s="4">
        <v>68101.0</v>
      </c>
      <c r="J17" s="4">
        <v>228832.0</v>
      </c>
      <c r="L17" s="4">
        <v>235448.0</v>
      </c>
      <c r="N17" s="4">
        <v>63253.0</v>
      </c>
      <c r="P17" s="4">
        <v>55460.0</v>
      </c>
      <c r="Z17" s="4">
        <v>271149.0</v>
      </c>
      <c r="AB17" s="4">
        <v>137431.0</v>
      </c>
      <c r="AX17" s="4">
        <v>7670127.0</v>
      </c>
      <c r="AZ17" s="4">
        <v>1003448.0</v>
      </c>
      <c r="BH17" s="92">
        <v>2826403.0</v>
      </c>
      <c r="BJ17" s="4">
        <v>1255294.0</v>
      </c>
      <c r="BN17" s="56">
        <v>981644.0</v>
      </c>
      <c r="BO17" s="37"/>
    </row>
    <row r="18" ht="15.75" customHeight="1">
      <c r="A18" s="61">
        <v>46127.0</v>
      </c>
      <c r="H18" s="4">
        <v>68101.0</v>
      </c>
      <c r="J18" s="4">
        <v>228832.0</v>
      </c>
      <c r="L18" s="4">
        <v>235448.0</v>
      </c>
      <c r="N18" s="4">
        <v>63253.0</v>
      </c>
      <c r="P18" s="4">
        <v>55460.0</v>
      </c>
      <c r="Z18" s="4">
        <v>271149.0</v>
      </c>
      <c r="AB18" s="4">
        <v>137431.0</v>
      </c>
      <c r="AX18" s="4">
        <v>7670127.0</v>
      </c>
      <c r="AZ18" s="4">
        <v>1003448.0</v>
      </c>
      <c r="BH18" s="92">
        <v>2826403.0</v>
      </c>
      <c r="BJ18" s="4">
        <v>1255294.0</v>
      </c>
      <c r="BN18" s="56">
        <v>981644.0</v>
      </c>
      <c r="BO18" s="37"/>
    </row>
    <row r="19" ht="15.75" customHeight="1">
      <c r="A19" s="61">
        <v>46128.0</v>
      </c>
      <c r="H19" s="4">
        <v>68101.0</v>
      </c>
      <c r="J19" s="4">
        <v>228832.0</v>
      </c>
      <c r="L19" s="4">
        <v>235448.0</v>
      </c>
      <c r="N19" s="4">
        <v>63253.0</v>
      </c>
      <c r="P19" s="4">
        <v>55460.0</v>
      </c>
      <c r="Z19" s="4">
        <v>271149.0</v>
      </c>
      <c r="AB19" s="4">
        <v>137431.0</v>
      </c>
      <c r="AX19" s="4">
        <v>7670127.0</v>
      </c>
      <c r="AZ19" s="4">
        <v>1003448.0</v>
      </c>
      <c r="BH19" s="92">
        <v>2826403.0</v>
      </c>
      <c r="BJ19" s="4">
        <v>1255294.0</v>
      </c>
      <c r="BN19" s="56">
        <v>981644.0</v>
      </c>
      <c r="BO19" s="37"/>
    </row>
    <row r="20" ht="15.75" customHeight="1">
      <c r="A20" s="61">
        <v>46129.0</v>
      </c>
      <c r="H20" s="4">
        <v>68101.0</v>
      </c>
      <c r="J20" s="4">
        <v>228832.0</v>
      </c>
      <c r="L20" s="4">
        <v>235448.0</v>
      </c>
      <c r="N20" s="4">
        <v>63253.0</v>
      </c>
      <c r="P20" s="4">
        <v>55460.0</v>
      </c>
      <c r="Z20" s="4">
        <v>271149.0</v>
      </c>
      <c r="AB20" s="4">
        <v>137431.0</v>
      </c>
      <c r="AX20" s="4">
        <v>7670127.0</v>
      </c>
      <c r="AZ20" s="4">
        <v>1003448.0</v>
      </c>
      <c r="BH20" s="92">
        <v>2826403.0</v>
      </c>
      <c r="BJ20" s="4">
        <v>1255294.0</v>
      </c>
      <c r="BN20" s="56">
        <v>981644.0</v>
      </c>
      <c r="BO20" s="37"/>
    </row>
    <row r="21" ht="15.75" customHeight="1">
      <c r="A21" s="61">
        <v>46132.0</v>
      </c>
      <c r="H21" s="4">
        <v>0.0</v>
      </c>
      <c r="I21" s="4">
        <v>71.3</v>
      </c>
      <c r="J21" s="4">
        <v>0.0</v>
      </c>
      <c r="K21" s="4">
        <v>41.45</v>
      </c>
      <c r="L21" s="4">
        <v>0.0</v>
      </c>
      <c r="M21" s="4">
        <v>18.9</v>
      </c>
      <c r="N21" s="4">
        <v>0.0</v>
      </c>
      <c r="O21" s="4">
        <v>79.9</v>
      </c>
      <c r="P21" s="4">
        <v>55460.0</v>
      </c>
      <c r="R21" s="4">
        <v>127171.0</v>
      </c>
      <c r="S21" s="4">
        <v>37.5</v>
      </c>
      <c r="T21" s="4">
        <v>91044.0</v>
      </c>
      <c r="U21" s="4">
        <v>52.38</v>
      </c>
      <c r="V21" s="4">
        <v>33636.0</v>
      </c>
      <c r="W21" s="4">
        <v>141.78</v>
      </c>
      <c r="Z21" s="4">
        <v>271149.0</v>
      </c>
      <c r="AB21" s="4">
        <v>137431.0</v>
      </c>
      <c r="AD21" s="4">
        <v>44349.0</v>
      </c>
      <c r="AE21" s="4">
        <v>107.53</v>
      </c>
      <c r="AF21" s="4">
        <v>363207.0</v>
      </c>
      <c r="AG21" s="4">
        <v>13.13</v>
      </c>
      <c r="AX21" s="4">
        <v>7670127.0</v>
      </c>
      <c r="AZ21" s="4">
        <v>1003448.0</v>
      </c>
      <c r="BH21" s="4">
        <v>0.0</v>
      </c>
      <c r="BI21" s="4">
        <v>3.24</v>
      </c>
      <c r="BJ21" s="4">
        <v>1255294.0</v>
      </c>
      <c r="BL21" s="4">
        <v>4202523.0</v>
      </c>
      <c r="BM21" s="4">
        <v>2.17</v>
      </c>
      <c r="BN21" s="56">
        <v>981644.0</v>
      </c>
      <c r="BO21" s="37"/>
    </row>
    <row r="22" ht="15.75" customHeight="1">
      <c r="A22" s="61">
        <v>46133.0</v>
      </c>
      <c r="P22" s="4">
        <v>55460.0</v>
      </c>
      <c r="R22" s="4">
        <v>127171.0</v>
      </c>
      <c r="T22" s="4">
        <v>91044.0</v>
      </c>
      <c r="V22" s="4">
        <v>33636.0</v>
      </c>
      <c r="Z22" s="4">
        <v>271149.0</v>
      </c>
      <c r="AB22" s="4">
        <v>137431.0</v>
      </c>
      <c r="AD22" s="4">
        <v>44349.0</v>
      </c>
      <c r="AF22" s="4">
        <v>363207.0</v>
      </c>
      <c r="AX22" s="4">
        <v>7670127.0</v>
      </c>
      <c r="AZ22" s="4">
        <v>1003448.0</v>
      </c>
      <c r="BJ22" s="4">
        <v>1255294.0</v>
      </c>
      <c r="BL22" s="4">
        <v>4202523.0</v>
      </c>
      <c r="BN22" s="56">
        <v>981644.0</v>
      </c>
      <c r="BO22" s="37"/>
    </row>
    <row r="23" ht="15.75" customHeight="1">
      <c r="A23" s="61">
        <v>46134.0</v>
      </c>
      <c r="P23" s="4">
        <v>55460.0</v>
      </c>
      <c r="R23" s="4">
        <v>127171.0</v>
      </c>
      <c r="T23" s="4">
        <v>91044.0</v>
      </c>
      <c r="V23" s="4">
        <v>33636.0</v>
      </c>
      <c r="Z23" s="4">
        <v>271149.0</v>
      </c>
      <c r="AB23" s="4">
        <v>137431.0</v>
      </c>
      <c r="AD23" s="4">
        <v>44349.0</v>
      </c>
      <c r="AF23" s="4">
        <v>363207.0</v>
      </c>
      <c r="AX23" s="4">
        <v>7670127.0</v>
      </c>
      <c r="AZ23" s="4">
        <v>1003448.0</v>
      </c>
      <c r="BJ23" s="4">
        <v>1255294.0</v>
      </c>
      <c r="BL23" s="4">
        <v>4202523.0</v>
      </c>
      <c r="BN23" s="56">
        <v>981644.0</v>
      </c>
      <c r="BO23" s="37"/>
    </row>
    <row r="24" ht="15.75" customHeight="1">
      <c r="A24" s="61">
        <v>46135.0</v>
      </c>
      <c r="P24" s="4">
        <v>55460.0</v>
      </c>
      <c r="R24" s="4">
        <v>127171.0</v>
      </c>
      <c r="T24" s="4">
        <v>91044.0</v>
      </c>
      <c r="V24" s="4">
        <v>33636.0</v>
      </c>
      <c r="Z24" s="4">
        <v>271149.0</v>
      </c>
      <c r="AB24" s="4">
        <v>137431.0</v>
      </c>
      <c r="AD24" s="4">
        <v>44349.0</v>
      </c>
      <c r="AF24" s="4">
        <v>363207.0</v>
      </c>
      <c r="AX24" s="4">
        <v>7670127.0</v>
      </c>
      <c r="AZ24" s="4">
        <v>1003448.0</v>
      </c>
      <c r="BJ24" s="4">
        <v>1255294.0</v>
      </c>
      <c r="BL24" s="4">
        <v>4202523.0</v>
      </c>
      <c r="BN24" s="56">
        <v>981644.0</v>
      </c>
      <c r="BO24" s="37"/>
    </row>
    <row r="25" ht="15.75" customHeight="1">
      <c r="A25" s="61">
        <v>46136.0</v>
      </c>
      <c r="P25" s="4">
        <v>55460.0</v>
      </c>
      <c r="R25" s="4">
        <v>127171.0</v>
      </c>
      <c r="T25" s="4">
        <v>91044.0</v>
      </c>
      <c r="V25" s="4">
        <v>33636.0</v>
      </c>
      <c r="Z25" s="4">
        <v>271149.0</v>
      </c>
      <c r="AB25" s="4">
        <v>137431.0</v>
      </c>
      <c r="AD25" s="4">
        <v>44349.0</v>
      </c>
      <c r="AF25" s="4">
        <v>363207.0</v>
      </c>
      <c r="AX25" s="4">
        <v>7670127.0</v>
      </c>
      <c r="AZ25" s="4">
        <v>1003448.0</v>
      </c>
      <c r="BJ25" s="4">
        <v>1255294.0</v>
      </c>
      <c r="BL25" s="4">
        <v>4202523.0</v>
      </c>
      <c r="BN25" s="56">
        <v>981644.0</v>
      </c>
      <c r="BO25" s="37"/>
    </row>
    <row r="26" ht="15.75" customHeight="1">
      <c r="A26" s="66">
        <v>46139.0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41">
        <v>55460.0</v>
      </c>
      <c r="Q26" s="39"/>
      <c r="R26" s="41">
        <v>127171.0</v>
      </c>
      <c r="S26" s="39"/>
      <c r="T26" s="41">
        <v>91044.0</v>
      </c>
      <c r="U26" s="39"/>
      <c r="V26" s="41">
        <v>33636.0</v>
      </c>
      <c r="W26" s="39"/>
      <c r="X26" s="41"/>
      <c r="Y26" s="41"/>
      <c r="Z26" s="41">
        <v>271149.0</v>
      </c>
      <c r="AA26" s="39"/>
      <c r="AB26" s="41">
        <v>137431.0</v>
      </c>
      <c r="AC26" s="39"/>
      <c r="AD26" s="41">
        <v>44349.0</v>
      </c>
      <c r="AE26" s="39"/>
      <c r="AF26" s="41">
        <v>363207.0</v>
      </c>
      <c r="AG26" s="39"/>
      <c r="AH26" s="41">
        <v>15113.0</v>
      </c>
      <c r="AI26" s="41">
        <v>330.82</v>
      </c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>
        <v>9658851.0</v>
      </c>
      <c r="AY26" s="41">
        <v>2.82</v>
      </c>
      <c r="AZ26" s="41">
        <v>1003448.0</v>
      </c>
      <c r="BA26" s="39"/>
      <c r="BB26" s="41">
        <v>1064693.0</v>
      </c>
      <c r="BC26" s="41">
        <v>9.38</v>
      </c>
      <c r="BD26" s="41"/>
      <c r="BE26" s="41"/>
      <c r="BF26" s="39"/>
      <c r="BG26" s="39"/>
      <c r="BH26" s="39"/>
      <c r="BI26" s="39"/>
      <c r="BJ26" s="41">
        <v>0.0</v>
      </c>
      <c r="BK26" s="41">
        <v>4.47</v>
      </c>
      <c r="BL26" s="41">
        <v>0.0</v>
      </c>
      <c r="BM26" s="41">
        <v>2.1</v>
      </c>
      <c r="BN26" s="90">
        <v>0.0</v>
      </c>
      <c r="BO26" s="90">
        <v>10.18</v>
      </c>
      <c r="BP26" s="41">
        <v>1431012.0</v>
      </c>
      <c r="BQ26" s="41">
        <v>6.19</v>
      </c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</row>
    <row r="27" ht="15.75" customHeight="1">
      <c r="A27" s="61">
        <v>46140.0</v>
      </c>
      <c r="P27" s="4">
        <v>55460.0</v>
      </c>
      <c r="R27" s="4">
        <v>127171.0</v>
      </c>
      <c r="T27" s="4">
        <v>91044.0</v>
      </c>
      <c r="V27" s="4">
        <v>33636.0</v>
      </c>
      <c r="Z27" s="4">
        <v>271149.0</v>
      </c>
      <c r="AB27" s="4">
        <v>137431.0</v>
      </c>
      <c r="AD27" s="22">
        <v>44349.0</v>
      </c>
      <c r="AF27" s="4">
        <v>363207.0</v>
      </c>
      <c r="AH27" s="4">
        <v>15113.0</v>
      </c>
      <c r="AX27" s="4">
        <v>9658851.0</v>
      </c>
      <c r="AZ27" s="4">
        <v>1003448.0</v>
      </c>
      <c r="BB27" s="22">
        <v>1064693.0</v>
      </c>
      <c r="BN27" s="56"/>
      <c r="BO27" s="56"/>
      <c r="BP27" s="22">
        <v>1431012.0</v>
      </c>
    </row>
    <row r="28" ht="15.75" customHeight="1">
      <c r="A28" s="61">
        <v>46141.0</v>
      </c>
      <c r="P28" s="4">
        <v>55460.0</v>
      </c>
      <c r="R28" s="4">
        <v>127171.0</v>
      </c>
      <c r="T28" s="4">
        <v>91044.0</v>
      </c>
      <c r="V28" s="4">
        <v>33636.0</v>
      </c>
      <c r="Z28" s="4">
        <v>271149.0</v>
      </c>
      <c r="AB28" s="4">
        <v>137431.0</v>
      </c>
      <c r="AD28" s="22">
        <v>44349.0</v>
      </c>
      <c r="AF28" s="4">
        <v>363207.0</v>
      </c>
      <c r="AH28" s="4">
        <v>15113.0</v>
      </c>
      <c r="AX28" s="4">
        <v>9658851.0</v>
      </c>
      <c r="AZ28" s="4">
        <v>1003448.0</v>
      </c>
      <c r="BB28" s="22">
        <v>1064693.0</v>
      </c>
      <c r="BN28" s="56"/>
      <c r="BO28" s="37"/>
      <c r="BP28" s="22">
        <v>1431012.0</v>
      </c>
    </row>
    <row r="29" ht="15.75" customHeight="1">
      <c r="A29" s="61">
        <v>46142.0</v>
      </c>
      <c r="P29" s="4">
        <v>55460.0</v>
      </c>
      <c r="R29" s="4">
        <v>127171.0</v>
      </c>
      <c r="T29" s="4">
        <v>91044.0</v>
      </c>
      <c r="V29" s="4">
        <v>33636.0</v>
      </c>
      <c r="Z29" s="4">
        <v>271149.0</v>
      </c>
      <c r="AB29" s="4">
        <v>137431.0</v>
      </c>
      <c r="AD29" s="22">
        <v>44349.0</v>
      </c>
      <c r="AF29" s="4">
        <v>363207.0</v>
      </c>
      <c r="AH29" s="4">
        <v>15113.0</v>
      </c>
      <c r="AX29" s="4">
        <v>9658851.0</v>
      </c>
      <c r="AZ29" s="4">
        <v>1003448.0</v>
      </c>
      <c r="BB29" s="22">
        <v>1064693.0</v>
      </c>
      <c r="BN29" s="56"/>
      <c r="BO29" s="37"/>
      <c r="BP29" s="22">
        <v>1431012.0</v>
      </c>
    </row>
    <row r="30" ht="15.75" customHeight="1">
      <c r="A30" s="61">
        <v>46143.0</v>
      </c>
      <c r="P30" s="4">
        <v>55460.0</v>
      </c>
      <c r="R30" s="4">
        <v>127171.0</v>
      </c>
      <c r="T30" s="4">
        <v>91044.0</v>
      </c>
      <c r="V30" s="4">
        <v>33636.0</v>
      </c>
      <c r="Z30" s="4">
        <v>271149.0</v>
      </c>
      <c r="AB30" s="4">
        <v>137431.0</v>
      </c>
      <c r="AD30" s="22">
        <v>44349.0</v>
      </c>
      <c r="AF30" s="4">
        <v>363207.0</v>
      </c>
      <c r="AH30" s="4">
        <v>15113.0</v>
      </c>
      <c r="AX30" s="4">
        <v>9658851.0</v>
      </c>
      <c r="AZ30" s="4">
        <v>1003448.0</v>
      </c>
      <c r="BB30" s="22">
        <v>1064693.0</v>
      </c>
      <c r="BN30" s="56"/>
      <c r="BO30" s="37"/>
      <c r="BP30" s="22">
        <v>1431012.0</v>
      </c>
    </row>
    <row r="31" ht="15.75" customHeight="1">
      <c r="A31" s="61">
        <v>46146.0</v>
      </c>
      <c r="P31" s="4">
        <v>55460.0</v>
      </c>
      <c r="R31" s="4">
        <v>127171.0</v>
      </c>
      <c r="T31" s="4">
        <v>91044.0</v>
      </c>
      <c r="V31" s="4">
        <v>33636.0</v>
      </c>
      <c r="Z31" s="4">
        <v>271149.0</v>
      </c>
      <c r="AB31" s="4">
        <v>137431.0</v>
      </c>
      <c r="AD31" s="22">
        <v>44349.0</v>
      </c>
      <c r="AF31" s="4">
        <v>363207.0</v>
      </c>
      <c r="AH31" s="4">
        <v>15113.0</v>
      </c>
      <c r="AX31" s="4">
        <v>9658851.0</v>
      </c>
      <c r="AZ31" s="4">
        <v>1003448.0</v>
      </c>
      <c r="BB31" s="22">
        <v>1064693.0</v>
      </c>
      <c r="BN31" s="56"/>
      <c r="BO31" s="37"/>
      <c r="BP31" s="4">
        <v>0.0</v>
      </c>
      <c r="BQ31" s="4">
        <v>5.42</v>
      </c>
      <c r="BR31" s="4">
        <v>747088.0</v>
      </c>
      <c r="BS31" s="4">
        <v>10.38</v>
      </c>
    </row>
    <row r="32" ht="15.75" customHeight="1">
      <c r="A32" s="61">
        <v>46147.0</v>
      </c>
      <c r="P32" s="4">
        <v>55460.0</v>
      </c>
      <c r="R32" s="4">
        <v>127171.0</v>
      </c>
      <c r="T32" s="4">
        <v>91044.0</v>
      </c>
      <c r="V32" s="4">
        <v>33636.0</v>
      </c>
      <c r="Z32" s="4">
        <v>271149.0</v>
      </c>
      <c r="AB32" s="4">
        <v>137431.0</v>
      </c>
      <c r="AD32" s="22">
        <v>44349.0</v>
      </c>
      <c r="AF32" s="4">
        <v>363207.0</v>
      </c>
      <c r="AH32" s="4">
        <v>15113.0</v>
      </c>
      <c r="AX32" s="4">
        <v>9658851.0</v>
      </c>
      <c r="AZ32" s="4">
        <v>1003448.0</v>
      </c>
      <c r="BB32" s="22">
        <v>1064693.0</v>
      </c>
      <c r="BN32" s="56"/>
      <c r="BO32" s="37"/>
      <c r="BR32" s="4">
        <v>747088.0</v>
      </c>
    </row>
    <row r="33" ht="15.75" customHeight="1">
      <c r="A33" s="61">
        <v>46148.0</v>
      </c>
      <c r="P33" s="4">
        <v>55460.0</v>
      </c>
      <c r="R33" s="4">
        <v>127171.0</v>
      </c>
      <c r="T33" s="4">
        <v>91044.0</v>
      </c>
      <c r="V33" s="4">
        <v>33636.0</v>
      </c>
      <c r="Z33" s="4">
        <v>271149.0</v>
      </c>
      <c r="AB33" s="4">
        <v>137431.0</v>
      </c>
      <c r="AD33" s="22">
        <v>44349.0</v>
      </c>
      <c r="AF33" s="4">
        <v>363207.0</v>
      </c>
      <c r="AH33" s="4">
        <v>15113.0</v>
      </c>
      <c r="AX33" s="4">
        <v>9658851.0</v>
      </c>
      <c r="AZ33" s="4">
        <v>1003448.0</v>
      </c>
      <c r="BB33" s="22">
        <v>1064693.0</v>
      </c>
      <c r="BN33" s="56"/>
      <c r="BO33" s="37"/>
      <c r="BR33" s="4">
        <v>747088.0</v>
      </c>
    </row>
    <row r="34" ht="15.75" customHeight="1">
      <c r="A34" s="61">
        <v>46149.0</v>
      </c>
      <c r="P34" s="4">
        <v>55460.0</v>
      </c>
      <c r="R34" s="4">
        <v>127171.0</v>
      </c>
      <c r="T34" s="4">
        <v>91044.0</v>
      </c>
      <c r="V34" s="4">
        <v>33636.0</v>
      </c>
      <c r="Z34" s="4">
        <v>271149.0</v>
      </c>
      <c r="AB34" s="4">
        <v>137431.0</v>
      </c>
      <c r="AD34" s="22">
        <v>44349.0</v>
      </c>
      <c r="AF34" s="4">
        <v>363207.0</v>
      </c>
      <c r="AH34" s="4">
        <v>15113.0</v>
      </c>
      <c r="AX34" s="4">
        <v>9658851.0</v>
      </c>
      <c r="AZ34" s="4">
        <v>1003448.0</v>
      </c>
      <c r="BB34" s="22">
        <v>1064693.0</v>
      </c>
      <c r="BN34" s="56"/>
      <c r="BO34" s="37"/>
      <c r="BR34" s="4">
        <v>747088.0</v>
      </c>
    </row>
    <row r="35" ht="15.75" customHeight="1">
      <c r="A35" s="93">
        <v>46150.0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5">
        <v>55460.0</v>
      </c>
      <c r="Q35" s="94"/>
      <c r="R35" s="95">
        <v>127171.0</v>
      </c>
      <c r="S35" s="94"/>
      <c r="T35" s="95">
        <v>91044.0</v>
      </c>
      <c r="U35" s="94"/>
      <c r="V35" s="95">
        <v>33636.0</v>
      </c>
      <c r="W35" s="94"/>
      <c r="X35" s="94"/>
      <c r="Y35" s="94"/>
      <c r="Z35" s="95">
        <v>271149.0</v>
      </c>
      <c r="AA35" s="94"/>
      <c r="AB35" s="95">
        <v>137431.0</v>
      </c>
      <c r="AC35" s="94"/>
      <c r="AD35" s="96">
        <v>44349.0</v>
      </c>
      <c r="AE35" s="94"/>
      <c r="AF35" s="95">
        <v>363207.0</v>
      </c>
      <c r="AG35" s="94"/>
      <c r="AH35" s="95">
        <v>15113.0</v>
      </c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>
        <v>9658851.0</v>
      </c>
      <c r="AY35" s="94"/>
      <c r="AZ35" s="95">
        <v>1003448.0</v>
      </c>
      <c r="BA35" s="94"/>
      <c r="BB35" s="96">
        <v>1064693.0</v>
      </c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5">
        <v>747088.0</v>
      </c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</row>
    <row r="36" ht="15.75" customHeight="1">
      <c r="A36" s="61">
        <v>46153.0</v>
      </c>
      <c r="P36" s="4">
        <v>0.0</v>
      </c>
      <c r="Q36" s="4">
        <v>93.87</v>
      </c>
      <c r="R36" s="4">
        <v>0.0</v>
      </c>
      <c r="S36" s="4">
        <v>36.96</v>
      </c>
      <c r="T36" s="4">
        <v>0.0</v>
      </c>
      <c r="U36" s="4">
        <v>53.67</v>
      </c>
      <c r="V36" s="95">
        <v>33636.0</v>
      </c>
      <c r="X36" s="4">
        <v>361765.0</v>
      </c>
      <c r="Y36" s="4">
        <v>13.63</v>
      </c>
      <c r="Z36" s="95">
        <v>271149.0</v>
      </c>
      <c r="AB36" s="95">
        <v>137431.0</v>
      </c>
      <c r="AD36" s="96">
        <v>44349.0</v>
      </c>
      <c r="AF36" s="95">
        <v>363207.0</v>
      </c>
      <c r="AH36" s="95">
        <v>15113.0</v>
      </c>
      <c r="AJ36" s="4">
        <v>67546.0</v>
      </c>
      <c r="AK36" s="4">
        <v>73.0</v>
      </c>
      <c r="AL36" s="4">
        <v>38737.0</v>
      </c>
      <c r="AM36" s="4">
        <v>127.29</v>
      </c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95">
        <v>9658851.0</v>
      </c>
      <c r="AZ36" s="95">
        <v>1003448.0</v>
      </c>
      <c r="BB36" s="96">
        <v>1064693.0</v>
      </c>
      <c r="BN36" s="37"/>
      <c r="BO36" s="37"/>
      <c r="BR36" s="95">
        <v>747088.0</v>
      </c>
    </row>
    <row r="37" ht="15.75" customHeight="1">
      <c r="A37" s="61">
        <v>46154.0</v>
      </c>
      <c r="V37" s="95">
        <v>33636.0</v>
      </c>
      <c r="X37" s="4">
        <v>361765.0</v>
      </c>
      <c r="Z37" s="95">
        <v>271149.0</v>
      </c>
      <c r="AB37" s="95">
        <v>137431.0</v>
      </c>
      <c r="AD37" s="96">
        <v>44349.0</v>
      </c>
      <c r="AF37" s="95">
        <v>363207.0</v>
      </c>
      <c r="AH37" s="95">
        <v>15113.0</v>
      </c>
      <c r="AJ37" s="4">
        <v>67546.0</v>
      </c>
      <c r="AL37" s="4">
        <v>38737.0</v>
      </c>
      <c r="AX37" s="95">
        <v>9658851.0</v>
      </c>
      <c r="AZ37" s="95">
        <v>1003448.0</v>
      </c>
      <c r="BB37" s="96">
        <v>1064693.0</v>
      </c>
      <c r="BN37" s="37"/>
      <c r="BO37" s="37"/>
      <c r="BR37" s="95">
        <v>747088.0</v>
      </c>
    </row>
    <row r="38" ht="15.75" customHeight="1">
      <c r="A38" s="61">
        <v>46155.0</v>
      </c>
      <c r="V38" s="95">
        <v>33636.0</v>
      </c>
      <c r="X38" s="4">
        <v>361765.0</v>
      </c>
      <c r="Z38" s="95">
        <v>271149.0</v>
      </c>
      <c r="AB38" s="95">
        <v>137431.0</v>
      </c>
      <c r="AD38" s="96">
        <v>44349.0</v>
      </c>
      <c r="AF38" s="95">
        <v>363207.0</v>
      </c>
      <c r="AH38" s="95">
        <v>15113.0</v>
      </c>
      <c r="AJ38" s="4">
        <v>67546.0</v>
      </c>
      <c r="AL38" s="4">
        <v>38737.0</v>
      </c>
      <c r="AX38" s="95">
        <v>9658851.0</v>
      </c>
      <c r="AZ38" s="95">
        <v>1003448.0</v>
      </c>
      <c r="BB38" s="96">
        <v>1064693.0</v>
      </c>
      <c r="BN38" s="37"/>
      <c r="BO38" s="37"/>
      <c r="BR38" s="95">
        <v>747088.0</v>
      </c>
    </row>
    <row r="39" ht="15.75" customHeight="1">
      <c r="A39" s="61">
        <v>46156.0</v>
      </c>
      <c r="V39" s="95">
        <v>33636.0</v>
      </c>
      <c r="X39" s="4">
        <v>361765.0</v>
      </c>
      <c r="Z39" s="95">
        <v>271149.0</v>
      </c>
      <c r="AB39" s="95">
        <v>137431.0</v>
      </c>
      <c r="AD39" s="96">
        <v>44349.0</v>
      </c>
      <c r="AF39" s="95">
        <v>363207.0</v>
      </c>
      <c r="AH39" s="95">
        <v>15113.0</v>
      </c>
      <c r="AJ39" s="4">
        <v>67546.0</v>
      </c>
      <c r="AL39" s="4">
        <v>38737.0</v>
      </c>
      <c r="AX39" s="95">
        <v>9658851.0</v>
      </c>
      <c r="AZ39" s="95">
        <v>1003448.0</v>
      </c>
      <c r="BB39" s="96">
        <v>1064693.0</v>
      </c>
      <c r="BN39" s="37"/>
      <c r="BO39" s="37"/>
      <c r="BR39" s="95">
        <v>747088.0</v>
      </c>
    </row>
    <row r="40" ht="15.75" customHeight="1">
      <c r="A40" s="61">
        <v>46157.0</v>
      </c>
      <c r="V40" s="95">
        <v>33636.0</v>
      </c>
      <c r="X40" s="4">
        <v>361765.0</v>
      </c>
      <c r="Z40" s="95">
        <v>271149.0</v>
      </c>
      <c r="AB40" s="95">
        <v>137431.0</v>
      </c>
      <c r="AD40" s="96">
        <v>44349.0</v>
      </c>
      <c r="AF40" s="95">
        <v>363207.0</v>
      </c>
      <c r="AH40" s="95">
        <v>15113.0</v>
      </c>
      <c r="AJ40" s="4">
        <v>67546.0</v>
      </c>
      <c r="AL40" s="4">
        <v>38737.0</v>
      </c>
      <c r="AX40" s="95">
        <v>9658851.0</v>
      </c>
      <c r="AZ40" s="95">
        <v>1003448.0</v>
      </c>
      <c r="BB40" s="96">
        <v>1064693.0</v>
      </c>
      <c r="BN40" s="37"/>
      <c r="BO40" s="37"/>
      <c r="BR40" s="95">
        <v>747088.0</v>
      </c>
    </row>
    <row r="41" ht="15.75" customHeight="1">
      <c r="A41" s="61">
        <v>46160.0</v>
      </c>
      <c r="V41" s="97">
        <v>0.0</v>
      </c>
      <c r="W41" s="4">
        <v>264.17</v>
      </c>
      <c r="X41" s="4">
        <v>0.0</v>
      </c>
      <c r="Y41" s="4">
        <v>20.71</v>
      </c>
      <c r="Z41" s="95">
        <v>271149.0</v>
      </c>
      <c r="AB41" s="95">
        <v>137431.0</v>
      </c>
      <c r="AD41" s="96">
        <v>44349.0</v>
      </c>
      <c r="AF41" s="95">
        <v>363207.0</v>
      </c>
      <c r="AH41" s="95">
        <v>15113.0</v>
      </c>
      <c r="AJ41" s="4">
        <v>67546.0</v>
      </c>
      <c r="AL41" s="4">
        <v>38737.0</v>
      </c>
      <c r="AN41" s="4">
        <v>1861110.0</v>
      </c>
      <c r="AO41" s="4">
        <v>4.4</v>
      </c>
      <c r="AP41" s="4">
        <v>113309.0</v>
      </c>
      <c r="AQ41" s="4">
        <v>72.27</v>
      </c>
      <c r="AR41" s="4"/>
      <c r="AS41" s="4"/>
      <c r="AT41" s="4"/>
      <c r="AU41" s="4"/>
      <c r="AV41" s="4"/>
      <c r="AW41" s="4"/>
      <c r="AX41" s="95">
        <v>9658851.0</v>
      </c>
      <c r="AZ41" s="95">
        <v>1003448.0</v>
      </c>
      <c r="BB41" s="96">
        <v>1064693.0</v>
      </c>
      <c r="BD41" s="4">
        <v>148411.0</v>
      </c>
      <c r="BE41" s="4">
        <v>18.83</v>
      </c>
      <c r="BN41" s="37"/>
      <c r="BO41" s="37"/>
      <c r="BR41" s="97">
        <v>0.0</v>
      </c>
      <c r="BS41" s="4">
        <v>9.44</v>
      </c>
    </row>
    <row r="42" ht="15.75" customHeight="1">
      <c r="A42" s="61">
        <v>46161.0</v>
      </c>
      <c r="V42" s="97"/>
      <c r="Z42" s="95">
        <v>271149.0</v>
      </c>
      <c r="AB42" s="95">
        <v>137431.0</v>
      </c>
      <c r="AD42" s="96">
        <v>44349.0</v>
      </c>
      <c r="AF42" s="95">
        <v>363207.0</v>
      </c>
      <c r="AH42" s="95">
        <v>15113.0</v>
      </c>
      <c r="AJ42" s="4">
        <v>67546.0</v>
      </c>
      <c r="AL42" s="4">
        <v>38737.0</v>
      </c>
      <c r="AN42" s="4">
        <v>1861110.0</v>
      </c>
      <c r="AP42" s="4">
        <v>113309.0</v>
      </c>
      <c r="AX42" s="95">
        <v>9658851.0</v>
      </c>
      <c r="AZ42" s="95">
        <v>1003448.0</v>
      </c>
      <c r="BB42" s="96">
        <v>1064693.0</v>
      </c>
      <c r="BD42" s="4">
        <v>148411.0</v>
      </c>
      <c r="BN42" s="37"/>
      <c r="BO42" s="37"/>
      <c r="BR42" s="97"/>
    </row>
    <row r="43" ht="15.75" customHeight="1">
      <c r="A43" s="61">
        <v>46162.0</v>
      </c>
      <c r="B43" s="61"/>
      <c r="V43" s="97"/>
      <c r="Z43" s="95">
        <v>271149.0</v>
      </c>
      <c r="AB43" s="95">
        <v>137431.0</v>
      </c>
      <c r="AD43" s="96">
        <v>44349.0</v>
      </c>
      <c r="AF43" s="95">
        <v>363207.0</v>
      </c>
      <c r="AH43" s="95">
        <v>15113.0</v>
      </c>
      <c r="AJ43" s="4">
        <v>67546.0</v>
      </c>
      <c r="AL43" s="4">
        <v>38737.0</v>
      </c>
      <c r="AN43" s="4">
        <v>1861110.0</v>
      </c>
      <c r="AP43" s="4">
        <v>113309.0</v>
      </c>
      <c r="AX43" s="95">
        <v>9658851.0</v>
      </c>
      <c r="AZ43" s="95">
        <v>1003448.0</v>
      </c>
      <c r="BB43" s="96">
        <v>1064693.0</v>
      </c>
      <c r="BD43" s="4">
        <v>148411.0</v>
      </c>
      <c r="BN43" s="37"/>
      <c r="BO43" s="37"/>
      <c r="BR43" s="97"/>
    </row>
    <row r="44" ht="15.75" customHeight="1">
      <c r="A44" s="61">
        <v>46163.0</v>
      </c>
      <c r="B44" s="61"/>
      <c r="V44" s="97"/>
      <c r="Z44" s="95">
        <v>271149.0</v>
      </c>
      <c r="AB44" s="95">
        <v>137431.0</v>
      </c>
      <c r="AD44" s="96">
        <v>44349.0</v>
      </c>
      <c r="AF44" s="95">
        <v>363207.0</v>
      </c>
      <c r="AH44" s="95">
        <v>15113.0</v>
      </c>
      <c r="AJ44" s="4">
        <v>67546.0</v>
      </c>
      <c r="AL44" s="4">
        <v>38737.0</v>
      </c>
      <c r="AN44" s="4">
        <v>1861110.0</v>
      </c>
      <c r="AP44" s="4">
        <v>113309.0</v>
      </c>
      <c r="AX44" s="95">
        <v>9658851.0</v>
      </c>
      <c r="AZ44" s="95">
        <v>1003448.0</v>
      </c>
      <c r="BB44" s="96">
        <v>1064693.0</v>
      </c>
      <c r="BD44" s="4">
        <v>148411.0</v>
      </c>
      <c r="BN44" s="37"/>
      <c r="BO44" s="37"/>
      <c r="BR44" s="97"/>
    </row>
    <row r="45" ht="15.75" customHeight="1">
      <c r="A45" s="61">
        <v>46164.0</v>
      </c>
      <c r="B45" s="61"/>
      <c r="V45" s="97"/>
      <c r="Z45" s="95">
        <v>271149.0</v>
      </c>
      <c r="AB45" s="95">
        <v>137431.0</v>
      </c>
      <c r="AD45" s="96">
        <v>44349.0</v>
      </c>
      <c r="AF45" s="95">
        <v>363207.0</v>
      </c>
      <c r="AH45" s="95">
        <v>15113.0</v>
      </c>
      <c r="AJ45" s="4">
        <v>67546.0</v>
      </c>
      <c r="AL45" s="4">
        <v>38737.0</v>
      </c>
      <c r="AN45" s="4">
        <v>1861110.0</v>
      </c>
      <c r="AP45" s="4">
        <v>113309.0</v>
      </c>
      <c r="AX45" s="95">
        <v>9658851.0</v>
      </c>
      <c r="AZ45" s="95">
        <v>1003448.0</v>
      </c>
      <c r="BB45" s="96">
        <v>1064693.0</v>
      </c>
      <c r="BD45" s="4">
        <v>148411.0</v>
      </c>
      <c r="BN45" s="37"/>
      <c r="BO45" s="37"/>
      <c r="BR45" s="97"/>
    </row>
    <row r="46" ht="15.75" customHeight="1">
      <c r="A46" s="61">
        <v>46167.0</v>
      </c>
      <c r="B46" s="61"/>
      <c r="V46" s="97"/>
      <c r="Z46" s="95">
        <v>271149.0</v>
      </c>
      <c r="AB46" s="95">
        <v>137431.0</v>
      </c>
      <c r="AD46" s="96">
        <v>44349.0</v>
      </c>
      <c r="AF46" s="95">
        <v>363207.0</v>
      </c>
      <c r="AH46" s="95">
        <v>15113.0</v>
      </c>
      <c r="AJ46" s="4">
        <v>67546.0</v>
      </c>
      <c r="AL46" s="4">
        <v>38737.0</v>
      </c>
      <c r="AN46" s="4">
        <v>1861110.0</v>
      </c>
      <c r="AP46" s="4">
        <v>113309.0</v>
      </c>
      <c r="AX46" s="95">
        <v>9658851.0</v>
      </c>
      <c r="AZ46" s="95">
        <v>1003448.0</v>
      </c>
      <c r="BB46" s="96">
        <v>1064693.0</v>
      </c>
      <c r="BD46" s="4">
        <v>148411.0</v>
      </c>
      <c r="BN46" s="37"/>
      <c r="BO46" s="37"/>
      <c r="BR46" s="97"/>
    </row>
    <row r="47" ht="15.75" customHeight="1">
      <c r="A47" s="61">
        <v>46168.0</v>
      </c>
      <c r="B47" s="61"/>
      <c r="V47" s="97"/>
      <c r="Z47" s="95">
        <v>271149.0</v>
      </c>
      <c r="AB47" s="97">
        <v>68715.0</v>
      </c>
      <c r="AC47" s="4">
        <v>54.0</v>
      </c>
      <c r="AD47" s="96">
        <v>44349.0</v>
      </c>
      <c r="AF47" s="95">
        <v>363207.0</v>
      </c>
      <c r="AH47" s="95">
        <v>15113.0</v>
      </c>
      <c r="AJ47" s="4">
        <v>33773.0</v>
      </c>
      <c r="AK47" s="4">
        <v>68.86</v>
      </c>
      <c r="AL47" s="4">
        <v>38737.0</v>
      </c>
      <c r="AN47" s="4">
        <v>930555.0</v>
      </c>
      <c r="AO47" s="4">
        <v>5.9</v>
      </c>
      <c r="AP47" s="4">
        <v>113309.0</v>
      </c>
      <c r="AR47" s="4">
        <v>199076.0</v>
      </c>
      <c r="AS47" s="4">
        <v>19.3</v>
      </c>
      <c r="AT47" s="4">
        <v>369085.0</v>
      </c>
      <c r="AU47" s="4">
        <v>10.41</v>
      </c>
      <c r="AV47" s="4">
        <v>96054.0</v>
      </c>
      <c r="AW47" s="4">
        <v>40.0</v>
      </c>
      <c r="AX47" s="95">
        <v>9658851.0</v>
      </c>
      <c r="AZ47" s="95">
        <v>1003448.0</v>
      </c>
      <c r="BB47" s="96">
        <v>1064693.0</v>
      </c>
      <c r="BD47" s="4">
        <v>148411.0</v>
      </c>
      <c r="BN47" s="37"/>
      <c r="BO47" s="37"/>
      <c r="BR47" s="97"/>
    </row>
    <row r="48" ht="15.75" customHeight="1">
      <c r="A48" s="61"/>
      <c r="B48" s="61"/>
      <c r="V48" s="97"/>
      <c r="Z48" s="95"/>
      <c r="AB48" s="97"/>
      <c r="AD48" s="96"/>
      <c r="AF48" s="95"/>
      <c r="AH48" s="95"/>
      <c r="AX48" s="95"/>
      <c r="AZ48" s="95"/>
      <c r="BB48" s="96"/>
      <c r="BN48" s="37"/>
      <c r="BO48" s="37"/>
      <c r="BR48" s="97"/>
    </row>
    <row r="49" ht="15.75" customHeight="1">
      <c r="A49" s="61"/>
      <c r="AX49" s="95"/>
      <c r="BN49" s="37"/>
      <c r="BO49" s="37"/>
    </row>
    <row r="50" ht="15.75" customHeight="1">
      <c r="AX50" s="95"/>
      <c r="BN50" s="37"/>
      <c r="BO50" s="37"/>
    </row>
    <row r="51" ht="15.75" customHeight="1">
      <c r="BN51" s="37"/>
      <c r="BO51" s="37"/>
    </row>
    <row r="52" ht="15.75" customHeight="1">
      <c r="BN52" s="37"/>
      <c r="BO52" s="37"/>
    </row>
    <row r="53" ht="15.75" customHeight="1">
      <c r="BN53" s="37"/>
      <c r="BO53" s="37"/>
    </row>
    <row r="54" ht="15.75" customHeight="1">
      <c r="BN54" s="37"/>
      <c r="BO54" s="37"/>
    </row>
    <row r="55" ht="15.75" customHeight="1">
      <c r="BN55" s="37"/>
      <c r="BO55" s="37"/>
    </row>
    <row r="56" ht="15.75" customHeight="1">
      <c r="BN56" s="37"/>
      <c r="BO56" s="37"/>
    </row>
    <row r="57" ht="15.75" customHeight="1">
      <c r="BN57" s="37"/>
      <c r="BO57" s="37"/>
    </row>
    <row r="58" ht="15.75" customHeight="1">
      <c r="BN58" s="37"/>
      <c r="BO58" s="37"/>
    </row>
    <row r="59" ht="15.75" customHeight="1">
      <c r="BN59" s="37"/>
      <c r="BO59" s="37"/>
    </row>
    <row r="60" ht="15.75" customHeight="1">
      <c r="BN60" s="37"/>
      <c r="BO60" s="37"/>
    </row>
    <row r="61" ht="15.75" customHeight="1">
      <c r="BN61" s="37"/>
      <c r="BO61" s="37"/>
    </row>
    <row r="62" ht="15.75" customHeight="1">
      <c r="BN62" s="37"/>
      <c r="BO62" s="37"/>
    </row>
    <row r="63" ht="15.75" customHeight="1">
      <c r="BN63" s="37"/>
      <c r="BO63" s="37"/>
    </row>
    <row r="64" ht="15.75" customHeight="1">
      <c r="BN64" s="37"/>
      <c r="BO64" s="37"/>
    </row>
    <row r="65" ht="15.75" customHeight="1">
      <c r="BN65" s="37"/>
      <c r="BO65" s="37"/>
    </row>
    <row r="66" ht="15.75" customHeight="1">
      <c r="BN66" s="37"/>
      <c r="BO66" s="37"/>
    </row>
    <row r="67" ht="15.75" customHeight="1">
      <c r="BN67" s="37"/>
      <c r="BO67" s="37"/>
    </row>
    <row r="68" ht="15.75" customHeight="1">
      <c r="BN68" s="37"/>
      <c r="BO68" s="37"/>
    </row>
    <row r="69" ht="15.75" customHeight="1">
      <c r="BN69" s="37"/>
      <c r="BO69" s="37"/>
    </row>
    <row r="70" ht="15.75" customHeight="1">
      <c r="BN70" s="37"/>
      <c r="BO70" s="37"/>
    </row>
    <row r="71" ht="15.75" customHeight="1">
      <c r="BN71" s="37"/>
      <c r="BO71" s="37"/>
    </row>
    <row r="72" ht="15.75" customHeight="1">
      <c r="BN72" s="37"/>
      <c r="BO72" s="37"/>
    </row>
    <row r="73" ht="15.75" customHeight="1">
      <c r="BN73" s="37"/>
      <c r="BO73" s="37"/>
    </row>
    <row r="74" ht="15.75" customHeight="1">
      <c r="BN74" s="37"/>
      <c r="BO74" s="37"/>
    </row>
    <row r="75" ht="15.75" customHeight="1">
      <c r="BN75" s="37"/>
      <c r="BO75" s="37"/>
    </row>
    <row r="76" ht="15.75" customHeight="1">
      <c r="BN76" s="37"/>
      <c r="BO76" s="37"/>
    </row>
    <row r="77" ht="15.75" customHeight="1">
      <c r="BN77" s="37"/>
      <c r="BO77" s="37"/>
    </row>
    <row r="78" ht="15.75" customHeight="1">
      <c r="BN78" s="37"/>
      <c r="BO78" s="37"/>
    </row>
    <row r="79" ht="15.75" customHeight="1">
      <c r="BN79" s="37"/>
      <c r="BO79" s="37"/>
    </row>
    <row r="80" ht="15.75" customHeight="1">
      <c r="BN80" s="37"/>
      <c r="BO80" s="37"/>
    </row>
    <row r="81" ht="15.75" customHeight="1">
      <c r="BN81" s="37"/>
      <c r="BO81" s="37"/>
    </row>
    <row r="82" ht="15.75" customHeight="1">
      <c r="BN82" s="37"/>
      <c r="BO82" s="37"/>
    </row>
    <row r="83" ht="15.75" customHeight="1">
      <c r="BN83" s="37"/>
      <c r="BO83" s="37"/>
    </row>
    <row r="84" ht="15.75" customHeight="1">
      <c r="BN84" s="37"/>
      <c r="BO84" s="37"/>
    </row>
    <row r="85" ht="15.75" customHeight="1">
      <c r="BN85" s="37"/>
      <c r="BO85" s="37"/>
    </row>
    <row r="86" ht="15.75" customHeight="1">
      <c r="BN86" s="37"/>
      <c r="BO86" s="37"/>
    </row>
    <row r="87" ht="15.75" customHeight="1">
      <c r="BN87" s="37"/>
      <c r="BO87" s="37"/>
    </row>
    <row r="88" ht="15.75" customHeight="1">
      <c r="BN88" s="37"/>
      <c r="BO88" s="37"/>
    </row>
    <row r="89" ht="15.75" customHeight="1">
      <c r="BN89" s="37"/>
      <c r="BO89" s="37"/>
    </row>
    <row r="90" ht="15.75" customHeight="1">
      <c r="BN90" s="37"/>
      <c r="BO90" s="37"/>
    </row>
    <row r="91" ht="15.75" customHeight="1">
      <c r="BN91" s="37"/>
      <c r="BO91" s="37"/>
    </row>
    <row r="92" ht="15.75" customHeight="1">
      <c r="BN92" s="37"/>
      <c r="BO92" s="37"/>
    </row>
    <row r="93" ht="15.75" customHeight="1">
      <c r="BN93" s="37"/>
      <c r="BO93" s="37"/>
    </row>
    <row r="94" ht="15.75" customHeight="1">
      <c r="BN94" s="37"/>
      <c r="BO94" s="37"/>
    </row>
    <row r="95" ht="15.75" customHeight="1">
      <c r="BN95" s="37"/>
      <c r="BO95" s="37"/>
    </row>
    <row r="96" ht="15.75" customHeight="1">
      <c r="BN96" s="37"/>
      <c r="BO96" s="37"/>
    </row>
    <row r="97" ht="15.75" customHeight="1">
      <c r="BN97" s="37"/>
      <c r="BO97" s="37"/>
    </row>
    <row r="98" ht="15.75" customHeight="1">
      <c r="BN98" s="37"/>
      <c r="BO98" s="37"/>
    </row>
    <row r="99" ht="15.75" customHeight="1">
      <c r="BN99" s="37"/>
      <c r="BO99" s="37"/>
    </row>
    <row r="100" ht="15.75" customHeight="1">
      <c r="BN100" s="37"/>
      <c r="BO100" s="37"/>
    </row>
    <row r="101" ht="15.75" customHeight="1">
      <c r="BN101" s="37"/>
      <c r="BO101" s="37"/>
    </row>
    <row r="102" ht="15.75" customHeight="1">
      <c r="BN102" s="37"/>
      <c r="BO102" s="37"/>
    </row>
    <row r="103" ht="15.75" customHeight="1">
      <c r="BN103" s="37"/>
      <c r="BO103" s="37"/>
    </row>
    <row r="104" ht="15.75" customHeight="1">
      <c r="BN104" s="37"/>
      <c r="BO104" s="37"/>
    </row>
    <row r="105" ht="15.75" customHeight="1">
      <c r="BN105" s="37"/>
      <c r="BO105" s="37"/>
    </row>
    <row r="106" ht="15.75" customHeight="1">
      <c r="BN106" s="37"/>
      <c r="BO106" s="37"/>
    </row>
    <row r="107" ht="15.75" customHeight="1">
      <c r="BN107" s="37"/>
      <c r="BO107" s="37"/>
    </row>
    <row r="108" ht="15.75" customHeight="1">
      <c r="BN108" s="37"/>
      <c r="BO108" s="37"/>
    </row>
    <row r="109" ht="15.75" customHeight="1">
      <c r="BN109" s="37"/>
      <c r="BO109" s="37"/>
    </row>
    <row r="110" ht="15.75" customHeight="1">
      <c r="BN110" s="37"/>
      <c r="BO110" s="37"/>
    </row>
    <row r="111" ht="15.75" customHeight="1">
      <c r="BN111" s="37"/>
      <c r="BO111" s="37"/>
    </row>
    <row r="112" ht="15.75" customHeight="1">
      <c r="BN112" s="37"/>
      <c r="BO112" s="37"/>
    </row>
    <row r="113" ht="15.75" customHeight="1">
      <c r="BN113" s="37"/>
      <c r="BO113" s="37"/>
    </row>
    <row r="114" ht="15.75" customHeight="1">
      <c r="BN114" s="37"/>
      <c r="BO114" s="37"/>
    </row>
    <row r="115" ht="15.75" customHeight="1">
      <c r="BN115" s="37"/>
      <c r="BO115" s="37"/>
    </row>
    <row r="116" ht="15.75" customHeight="1">
      <c r="BN116" s="37"/>
      <c r="BO116" s="37"/>
    </row>
    <row r="117" ht="15.75" customHeight="1">
      <c r="BN117" s="37"/>
      <c r="BO117" s="37"/>
    </row>
    <row r="118" ht="15.75" customHeight="1">
      <c r="BN118" s="37"/>
      <c r="BO118" s="37"/>
    </row>
    <row r="119" ht="15.75" customHeight="1">
      <c r="BN119" s="37"/>
      <c r="BO119" s="37"/>
    </row>
    <row r="120" ht="15.75" customHeight="1">
      <c r="BN120" s="37"/>
      <c r="BO120" s="37"/>
    </row>
    <row r="121" ht="15.75" customHeight="1">
      <c r="BN121" s="37"/>
      <c r="BO121" s="37"/>
    </row>
    <row r="122" ht="15.75" customHeight="1">
      <c r="BN122" s="37"/>
      <c r="BO122" s="37"/>
    </row>
    <row r="123" ht="15.75" customHeight="1">
      <c r="BN123" s="37"/>
      <c r="BO123" s="37"/>
    </row>
    <row r="124" ht="15.75" customHeight="1">
      <c r="BN124" s="37"/>
      <c r="BO124" s="37"/>
    </row>
    <row r="125" ht="15.75" customHeight="1">
      <c r="BN125" s="37"/>
      <c r="BO125" s="37"/>
    </row>
    <row r="126" ht="15.75" customHeight="1">
      <c r="BN126" s="37"/>
      <c r="BO126" s="37"/>
    </row>
    <row r="127" ht="15.75" customHeight="1">
      <c r="BN127" s="37"/>
      <c r="BO127" s="37"/>
    </row>
    <row r="128" ht="15.75" customHeight="1">
      <c r="BN128" s="37"/>
      <c r="BO128" s="37"/>
    </row>
    <row r="129" ht="15.75" customHeight="1">
      <c r="BN129" s="37"/>
      <c r="BO129" s="37"/>
    </row>
    <row r="130" ht="15.75" customHeight="1">
      <c r="BN130" s="37"/>
      <c r="BO130" s="37"/>
    </row>
    <row r="131" ht="15.75" customHeight="1">
      <c r="BN131" s="37"/>
      <c r="BO131" s="37"/>
    </row>
    <row r="132" ht="15.75" customHeight="1">
      <c r="BN132" s="37"/>
      <c r="BO132" s="37"/>
    </row>
    <row r="133" ht="15.75" customHeight="1">
      <c r="BN133" s="37"/>
      <c r="BO133" s="37"/>
    </row>
    <row r="134" ht="15.75" customHeight="1">
      <c r="BN134" s="37"/>
      <c r="BO134" s="37"/>
    </row>
    <row r="135" ht="15.75" customHeight="1">
      <c r="BN135" s="37"/>
      <c r="BO135" s="37"/>
    </row>
    <row r="136" ht="15.75" customHeight="1">
      <c r="BN136" s="37"/>
      <c r="BO136" s="37"/>
    </row>
    <row r="137" ht="15.75" customHeight="1">
      <c r="BN137" s="37"/>
      <c r="BO137" s="37"/>
    </row>
    <row r="138" ht="15.75" customHeight="1">
      <c r="BN138" s="37"/>
      <c r="BO138" s="37"/>
    </row>
    <row r="139" ht="15.75" customHeight="1">
      <c r="BN139" s="37"/>
      <c r="BO139" s="37"/>
    </row>
    <row r="140" ht="15.75" customHeight="1">
      <c r="BN140" s="37"/>
      <c r="BO140" s="37"/>
    </row>
    <row r="141" ht="15.75" customHeight="1">
      <c r="BN141" s="37"/>
      <c r="BO141" s="37"/>
    </row>
    <row r="142" ht="15.75" customHeight="1">
      <c r="BN142" s="37"/>
      <c r="BO142" s="37"/>
    </row>
    <row r="143" ht="15.75" customHeight="1">
      <c r="BN143" s="37"/>
      <c r="BO143" s="37"/>
    </row>
    <row r="144" ht="15.75" customHeight="1">
      <c r="BN144" s="37"/>
      <c r="BO144" s="37"/>
    </row>
    <row r="145" ht="15.75" customHeight="1">
      <c r="BN145" s="37"/>
      <c r="BO145" s="37"/>
    </row>
    <row r="146" ht="15.75" customHeight="1">
      <c r="BN146" s="37"/>
      <c r="BO146" s="37"/>
    </row>
    <row r="147" ht="15.75" customHeight="1">
      <c r="BN147" s="37"/>
      <c r="BO147" s="37"/>
    </row>
    <row r="148" ht="15.75" customHeight="1">
      <c r="BN148" s="37"/>
      <c r="BO148" s="37"/>
    </row>
    <row r="149" ht="15.75" customHeight="1">
      <c r="BN149" s="37"/>
      <c r="BO149" s="37"/>
    </row>
    <row r="150" ht="15.75" customHeight="1">
      <c r="BN150" s="37"/>
      <c r="BO150" s="37"/>
    </row>
    <row r="151" ht="15.75" customHeight="1">
      <c r="BN151" s="37"/>
      <c r="BO151" s="37"/>
    </row>
    <row r="152" ht="15.75" customHeight="1">
      <c r="BN152" s="37"/>
      <c r="BO152" s="37"/>
    </row>
    <row r="153" ht="15.75" customHeight="1">
      <c r="BN153" s="37"/>
      <c r="BO153" s="37"/>
    </row>
    <row r="154" ht="15.75" customHeight="1">
      <c r="BN154" s="37"/>
      <c r="BO154" s="37"/>
    </row>
    <row r="155" ht="15.75" customHeight="1">
      <c r="BN155" s="37"/>
      <c r="BO155" s="37"/>
    </row>
    <row r="156" ht="15.75" customHeight="1">
      <c r="BN156" s="37"/>
      <c r="BO156" s="37"/>
    </row>
    <row r="157" ht="15.75" customHeight="1">
      <c r="BN157" s="37"/>
      <c r="BO157" s="37"/>
    </row>
    <row r="158" ht="15.75" customHeight="1">
      <c r="BN158" s="37"/>
      <c r="BO158" s="37"/>
    </row>
    <row r="159" ht="15.75" customHeight="1">
      <c r="BN159" s="37"/>
      <c r="BO159" s="37"/>
    </row>
    <row r="160" ht="15.75" customHeight="1">
      <c r="BN160" s="37"/>
      <c r="BO160" s="37"/>
    </row>
    <row r="161" ht="15.75" customHeight="1">
      <c r="BN161" s="37"/>
      <c r="BO161" s="37"/>
    </row>
    <row r="162" ht="15.75" customHeight="1">
      <c r="BN162" s="37"/>
      <c r="BO162" s="37"/>
    </row>
    <row r="163" ht="15.75" customHeight="1">
      <c r="BN163" s="37"/>
      <c r="BO163" s="37"/>
    </row>
    <row r="164" ht="15.75" customHeight="1">
      <c r="BN164" s="37"/>
      <c r="BO164" s="37"/>
    </row>
    <row r="165" ht="15.75" customHeight="1">
      <c r="BN165" s="37"/>
      <c r="BO165" s="37"/>
    </row>
    <row r="166" ht="15.75" customHeight="1">
      <c r="BN166" s="37"/>
      <c r="BO166" s="37"/>
    </row>
    <row r="167" ht="15.75" customHeight="1">
      <c r="BN167" s="37"/>
      <c r="BO167" s="37"/>
    </row>
    <row r="168" ht="15.75" customHeight="1">
      <c r="BN168" s="37"/>
      <c r="BO168" s="37"/>
    </row>
    <row r="169" ht="15.75" customHeight="1">
      <c r="BN169" s="37"/>
      <c r="BO169" s="37"/>
    </row>
    <row r="170" ht="15.75" customHeight="1">
      <c r="BN170" s="37"/>
      <c r="BO170" s="37"/>
    </row>
    <row r="171" ht="15.75" customHeight="1">
      <c r="BN171" s="37"/>
      <c r="BO171" s="37"/>
    </row>
    <row r="172" ht="15.75" customHeight="1">
      <c r="BN172" s="37"/>
      <c r="BO172" s="37"/>
    </row>
    <row r="173" ht="15.75" customHeight="1">
      <c r="BN173" s="37"/>
      <c r="BO173" s="37"/>
    </row>
    <row r="174" ht="15.75" customHeight="1">
      <c r="BN174" s="37"/>
      <c r="BO174" s="37"/>
    </row>
    <row r="175" ht="15.75" customHeight="1">
      <c r="BN175" s="37"/>
      <c r="BO175" s="37"/>
    </row>
    <row r="176" ht="15.75" customHeight="1">
      <c r="BN176" s="37"/>
      <c r="BO176" s="37"/>
    </row>
    <row r="177" ht="15.75" customHeight="1">
      <c r="BN177" s="37"/>
      <c r="BO177" s="37"/>
    </row>
    <row r="178" ht="15.75" customHeight="1">
      <c r="BN178" s="37"/>
      <c r="BO178" s="37"/>
    </row>
    <row r="179" ht="15.75" customHeight="1">
      <c r="BN179" s="37"/>
      <c r="BO179" s="37"/>
    </row>
    <row r="180" ht="15.75" customHeight="1">
      <c r="BN180" s="37"/>
      <c r="BO180" s="37"/>
    </row>
    <row r="181" ht="15.75" customHeight="1">
      <c r="BN181" s="37"/>
      <c r="BO181" s="37"/>
    </row>
    <row r="182" ht="15.75" customHeight="1">
      <c r="BN182" s="37"/>
      <c r="BO182" s="37"/>
    </row>
    <row r="183" ht="15.75" customHeight="1">
      <c r="BN183" s="37"/>
      <c r="BO183" s="37"/>
    </row>
    <row r="184" ht="15.75" customHeight="1">
      <c r="BN184" s="37"/>
      <c r="BO184" s="37"/>
    </row>
    <row r="185" ht="15.75" customHeight="1">
      <c r="BN185" s="37"/>
      <c r="BO185" s="37"/>
    </row>
    <row r="186" ht="15.75" customHeight="1">
      <c r="BN186" s="37"/>
      <c r="BO186" s="37"/>
    </row>
    <row r="187" ht="15.75" customHeight="1">
      <c r="BN187" s="37"/>
      <c r="BO187" s="37"/>
    </row>
    <row r="188" ht="15.75" customHeight="1">
      <c r="BN188" s="37"/>
      <c r="BO188" s="37"/>
    </row>
    <row r="189" ht="15.75" customHeight="1">
      <c r="BN189" s="37"/>
      <c r="BO189" s="37"/>
    </row>
    <row r="190" ht="15.75" customHeight="1">
      <c r="BN190" s="37"/>
      <c r="BO190" s="37"/>
    </row>
    <row r="191" ht="15.75" customHeight="1">
      <c r="BN191" s="37"/>
      <c r="BO191" s="37"/>
    </row>
    <row r="192" ht="15.75" customHeight="1">
      <c r="BN192" s="37"/>
      <c r="BO192" s="37"/>
    </row>
    <row r="193" ht="15.75" customHeight="1">
      <c r="BN193" s="37"/>
      <c r="BO193" s="37"/>
    </row>
    <row r="194" ht="15.75" customHeight="1">
      <c r="BN194" s="37"/>
      <c r="BO194" s="37"/>
    </row>
    <row r="195" ht="15.75" customHeight="1">
      <c r="BN195" s="37"/>
      <c r="BO195" s="37"/>
    </row>
    <row r="196" ht="15.75" customHeight="1">
      <c r="BN196" s="37"/>
      <c r="BO196" s="37"/>
    </row>
    <row r="197" ht="15.75" customHeight="1">
      <c r="BN197" s="37"/>
      <c r="BO197" s="37"/>
    </row>
    <row r="198" ht="15.75" customHeight="1">
      <c r="BN198" s="37"/>
      <c r="BO198" s="37"/>
    </row>
    <row r="199" ht="15.75" customHeight="1">
      <c r="BN199" s="37"/>
      <c r="BO199" s="37"/>
    </row>
    <row r="200" ht="15.75" customHeight="1">
      <c r="BN200" s="37"/>
      <c r="BO200" s="37"/>
    </row>
    <row r="201" ht="15.75" customHeight="1">
      <c r="BN201" s="37"/>
      <c r="BO201" s="37"/>
    </row>
    <row r="202" ht="15.75" customHeight="1">
      <c r="BN202" s="37"/>
      <c r="BO202" s="37"/>
    </row>
    <row r="203" ht="15.75" customHeight="1">
      <c r="BN203" s="37"/>
      <c r="BO203" s="37"/>
    </row>
    <row r="204" ht="15.75" customHeight="1">
      <c r="BN204" s="37"/>
      <c r="BO204" s="37"/>
    </row>
    <row r="205" ht="15.75" customHeight="1">
      <c r="BN205" s="37"/>
      <c r="BO205" s="37"/>
    </row>
    <row r="206" ht="15.75" customHeight="1">
      <c r="BN206" s="37"/>
      <c r="BO206" s="37"/>
    </row>
    <row r="207" ht="15.75" customHeight="1">
      <c r="BN207" s="37"/>
      <c r="BO207" s="37"/>
    </row>
    <row r="208" ht="15.75" customHeight="1">
      <c r="BN208" s="37"/>
      <c r="BO208" s="37"/>
    </row>
    <row r="209" ht="15.75" customHeight="1">
      <c r="BN209" s="37"/>
      <c r="BO209" s="37"/>
    </row>
    <row r="210" ht="15.75" customHeight="1">
      <c r="BN210" s="37"/>
      <c r="BO210" s="37"/>
    </row>
    <row r="211" ht="15.75" customHeight="1">
      <c r="BN211" s="37"/>
      <c r="BO211" s="37"/>
    </row>
    <row r="212" ht="15.75" customHeight="1">
      <c r="BN212" s="37"/>
      <c r="BO212" s="37"/>
    </row>
    <row r="213" ht="15.75" customHeight="1">
      <c r="BN213" s="37"/>
      <c r="BO213" s="37"/>
    </row>
    <row r="214" ht="15.75" customHeight="1">
      <c r="BN214" s="37"/>
      <c r="BO214" s="37"/>
    </row>
    <row r="215" ht="15.75" customHeight="1">
      <c r="BN215" s="37"/>
      <c r="BO215" s="37"/>
    </row>
    <row r="216" ht="15.75" customHeight="1">
      <c r="BN216" s="37"/>
      <c r="BO216" s="37"/>
    </row>
    <row r="217" ht="15.75" customHeight="1">
      <c r="BN217" s="37"/>
      <c r="BO217" s="37"/>
    </row>
    <row r="218" ht="15.75" customHeight="1">
      <c r="BN218" s="37"/>
      <c r="BO218" s="37"/>
    </row>
    <row r="219" ht="15.75" customHeight="1">
      <c r="BN219" s="37"/>
      <c r="BO219" s="37"/>
    </row>
    <row r="220" ht="15.75" customHeight="1">
      <c r="BN220" s="37"/>
      <c r="BO220" s="37"/>
    </row>
    <row r="221" ht="15.75" customHeight="1">
      <c r="BN221" s="37"/>
      <c r="BO221" s="37"/>
    </row>
    <row r="222" ht="15.75" customHeight="1">
      <c r="BN222" s="37"/>
      <c r="BO222" s="37"/>
    </row>
    <row r="223" ht="15.75" customHeight="1">
      <c r="BN223" s="37"/>
      <c r="BO223" s="37"/>
    </row>
    <row r="224" ht="15.75" customHeight="1">
      <c r="BN224" s="37"/>
      <c r="BO224" s="37"/>
    </row>
    <row r="225" ht="15.75" customHeight="1">
      <c r="BN225" s="37"/>
      <c r="BO225" s="37"/>
    </row>
    <row r="226" ht="15.75" customHeight="1">
      <c r="BN226" s="37"/>
      <c r="BO226" s="37"/>
    </row>
    <row r="227" ht="15.75" customHeight="1">
      <c r="BN227" s="37"/>
      <c r="BO227" s="37"/>
    </row>
    <row r="228" ht="15.75" customHeight="1">
      <c r="BN228" s="37"/>
      <c r="BO228" s="37"/>
    </row>
    <row r="229" ht="15.75" customHeight="1">
      <c r="BN229" s="37"/>
      <c r="BO229" s="37"/>
    </row>
    <row r="230" ht="15.75" customHeight="1">
      <c r="BN230" s="37"/>
      <c r="BO230" s="37"/>
    </row>
    <row r="231" ht="15.75" customHeight="1">
      <c r="BN231" s="37"/>
      <c r="BO231" s="37"/>
    </row>
    <row r="232" ht="15.75" customHeight="1">
      <c r="BN232" s="37"/>
      <c r="BO232" s="37"/>
    </row>
    <row r="233" ht="15.75" customHeight="1">
      <c r="BN233" s="37"/>
      <c r="BO233" s="37"/>
    </row>
    <row r="234" ht="15.75" customHeight="1">
      <c r="BN234" s="37"/>
      <c r="BO234" s="37"/>
    </row>
    <row r="235" ht="15.75" customHeight="1">
      <c r="BN235" s="37"/>
      <c r="BO235" s="37"/>
    </row>
    <row r="236" ht="15.75" customHeight="1">
      <c r="BN236" s="37"/>
      <c r="BO236" s="37"/>
    </row>
    <row r="237" ht="15.75" customHeight="1">
      <c r="BN237" s="37"/>
      <c r="BO237" s="37"/>
    </row>
    <row r="238" ht="15.75" customHeight="1">
      <c r="BN238" s="37"/>
      <c r="BO238" s="37"/>
    </row>
    <row r="239" ht="15.75" customHeight="1">
      <c r="BN239" s="37"/>
      <c r="BO239" s="37"/>
    </row>
    <row r="240" ht="15.75" customHeight="1">
      <c r="BN240" s="37"/>
      <c r="BO240" s="37"/>
    </row>
    <row r="241" ht="15.75" customHeight="1">
      <c r="BN241" s="37"/>
      <c r="BO241" s="37"/>
    </row>
    <row r="242" ht="15.75" customHeight="1">
      <c r="BN242" s="37"/>
      <c r="BO242" s="37"/>
    </row>
    <row r="243" ht="15.75" customHeight="1">
      <c r="BN243" s="37"/>
      <c r="BO243" s="37"/>
    </row>
    <row r="244" ht="15.75" customHeight="1">
      <c r="BN244" s="37"/>
      <c r="BO244" s="37"/>
    </row>
    <row r="245" ht="15.75" customHeight="1">
      <c r="BN245" s="37"/>
      <c r="BO245" s="37"/>
    </row>
    <row r="246" ht="15.75" customHeight="1">
      <c r="BN246" s="37"/>
      <c r="BO246" s="37"/>
    </row>
    <row r="247" ht="15.75" customHeight="1">
      <c r="BN247" s="37"/>
      <c r="BO247" s="37"/>
    </row>
    <row r="248" ht="15.75" customHeight="1">
      <c r="BN248" s="37"/>
      <c r="BO248" s="37"/>
    </row>
    <row r="249" ht="15.75" customHeight="1">
      <c r="BN249" s="37"/>
      <c r="BO249" s="37"/>
    </row>
    <row r="250" ht="15.75" customHeight="1">
      <c r="BN250" s="37"/>
      <c r="BO250" s="37"/>
    </row>
    <row r="251" ht="15.75" customHeight="1">
      <c r="BN251" s="37"/>
      <c r="BO251" s="37"/>
    </row>
    <row r="252" ht="15.75" customHeight="1">
      <c r="BN252" s="37"/>
      <c r="BO252" s="37"/>
    </row>
    <row r="253" ht="15.75" customHeight="1">
      <c r="BN253" s="37"/>
      <c r="BO253" s="37"/>
    </row>
    <row r="254" ht="15.75" customHeight="1">
      <c r="BN254" s="37"/>
      <c r="BO254" s="37"/>
    </row>
    <row r="255" ht="15.75" customHeight="1">
      <c r="BN255" s="37"/>
      <c r="BO255" s="37"/>
    </row>
    <row r="256" ht="15.75" customHeight="1">
      <c r="BN256" s="37"/>
      <c r="BO256" s="37"/>
    </row>
    <row r="257" ht="15.75" customHeight="1">
      <c r="BN257" s="37"/>
      <c r="BO257" s="37"/>
    </row>
    <row r="258" ht="15.75" customHeight="1">
      <c r="BN258" s="37"/>
      <c r="BO258" s="37"/>
    </row>
    <row r="259" ht="15.75" customHeight="1">
      <c r="BN259" s="37"/>
      <c r="BO259" s="37"/>
    </row>
    <row r="260" ht="15.75" customHeight="1">
      <c r="BN260" s="37"/>
      <c r="BO260" s="37"/>
    </row>
    <row r="261" ht="15.75" customHeight="1">
      <c r="BN261" s="37"/>
      <c r="BO261" s="37"/>
    </row>
    <row r="262" ht="15.75" customHeight="1">
      <c r="BN262" s="37"/>
      <c r="BO262" s="37"/>
    </row>
    <row r="263" ht="15.75" customHeight="1">
      <c r="BN263" s="37"/>
      <c r="BO263" s="37"/>
    </row>
    <row r="264" ht="15.75" customHeight="1">
      <c r="BN264" s="37"/>
      <c r="BO264" s="37"/>
    </row>
    <row r="265" ht="15.75" customHeight="1">
      <c r="BN265" s="37"/>
      <c r="BO265" s="37"/>
    </row>
    <row r="266" ht="15.75" customHeight="1">
      <c r="BN266" s="37"/>
      <c r="BO266" s="37"/>
    </row>
    <row r="267" ht="15.75" customHeight="1">
      <c r="BN267" s="37"/>
      <c r="BO267" s="37"/>
    </row>
    <row r="268" ht="15.75" customHeight="1">
      <c r="BN268" s="37"/>
      <c r="BO268" s="37"/>
    </row>
    <row r="269" ht="15.75" customHeight="1">
      <c r="BN269" s="37"/>
      <c r="BO269" s="37"/>
    </row>
    <row r="270" ht="15.75" customHeight="1">
      <c r="BN270" s="37"/>
      <c r="BO270" s="37"/>
    </row>
    <row r="271" ht="15.75" customHeight="1">
      <c r="BN271" s="37"/>
      <c r="BO271" s="37"/>
    </row>
    <row r="272" ht="15.75" customHeight="1">
      <c r="BN272" s="37"/>
      <c r="BO272" s="37"/>
    </row>
    <row r="273" ht="15.75" customHeight="1">
      <c r="BN273" s="37"/>
      <c r="BO273" s="37"/>
    </row>
    <row r="274" ht="15.75" customHeight="1">
      <c r="BN274" s="37"/>
      <c r="BO274" s="37"/>
    </row>
    <row r="275" ht="15.75" customHeight="1">
      <c r="BN275" s="37"/>
      <c r="BO275" s="37"/>
    </row>
    <row r="276" ht="15.75" customHeight="1">
      <c r="BN276" s="37"/>
      <c r="BO276" s="37"/>
    </row>
    <row r="277" ht="15.75" customHeight="1">
      <c r="BN277" s="37"/>
      <c r="BO277" s="37"/>
    </row>
    <row r="278" ht="15.75" customHeight="1">
      <c r="BN278" s="37"/>
      <c r="BO278" s="37"/>
    </row>
    <row r="279" ht="15.75" customHeight="1">
      <c r="BN279" s="37"/>
      <c r="BO279" s="37"/>
    </row>
    <row r="280" ht="15.75" customHeight="1">
      <c r="BN280" s="37"/>
      <c r="BO280" s="37"/>
    </row>
    <row r="281" ht="15.75" customHeight="1">
      <c r="BN281" s="37"/>
      <c r="BO281" s="37"/>
    </row>
    <row r="282" ht="15.75" customHeight="1">
      <c r="BN282" s="37"/>
      <c r="BO282" s="37"/>
    </row>
    <row r="283" ht="15.75" customHeight="1">
      <c r="BN283" s="37"/>
      <c r="BO283" s="37"/>
    </row>
    <row r="284" ht="15.75" customHeight="1">
      <c r="BN284" s="37"/>
      <c r="BO284" s="37"/>
    </row>
    <row r="285" ht="15.75" customHeight="1">
      <c r="BN285" s="37"/>
      <c r="BO285" s="37"/>
    </row>
    <row r="286" ht="15.75" customHeight="1">
      <c r="BN286" s="37"/>
      <c r="BO286" s="37"/>
    </row>
    <row r="287" ht="15.75" customHeight="1">
      <c r="BN287" s="37"/>
      <c r="BO287" s="37"/>
    </row>
    <row r="288" ht="15.75" customHeight="1">
      <c r="BN288" s="37"/>
      <c r="BO288" s="37"/>
    </row>
    <row r="289" ht="15.75" customHeight="1">
      <c r="BN289" s="37"/>
      <c r="BO289" s="37"/>
    </row>
    <row r="290" ht="15.75" customHeight="1">
      <c r="BN290" s="37"/>
      <c r="BO290" s="37"/>
    </row>
    <row r="291" ht="15.75" customHeight="1">
      <c r="BN291" s="37"/>
      <c r="BO291" s="37"/>
    </row>
    <row r="292" ht="15.75" customHeight="1">
      <c r="BN292" s="37"/>
      <c r="BO292" s="37"/>
    </row>
    <row r="293" ht="15.75" customHeight="1">
      <c r="BN293" s="37"/>
      <c r="BO293" s="37"/>
    </row>
    <row r="294" ht="15.75" customHeight="1">
      <c r="BN294" s="37"/>
      <c r="BO294" s="37"/>
    </row>
    <row r="295" ht="15.75" customHeight="1">
      <c r="BN295" s="37"/>
      <c r="BO295" s="37"/>
    </row>
    <row r="296" ht="15.75" customHeight="1">
      <c r="BN296" s="37"/>
      <c r="BO296" s="37"/>
    </row>
    <row r="297" ht="15.75" customHeight="1">
      <c r="BN297" s="37"/>
      <c r="BO297" s="37"/>
    </row>
    <row r="298" ht="15.75" customHeight="1">
      <c r="BN298" s="37"/>
      <c r="BO298" s="37"/>
    </row>
    <row r="299" ht="15.75" customHeight="1">
      <c r="BN299" s="37"/>
      <c r="BO299" s="37"/>
    </row>
    <row r="300" ht="15.75" customHeight="1">
      <c r="BN300" s="37"/>
      <c r="BO300" s="37"/>
    </row>
    <row r="301" ht="15.75" customHeight="1">
      <c r="BN301" s="37"/>
      <c r="BO301" s="37"/>
    </row>
    <row r="302" ht="15.75" customHeight="1">
      <c r="BN302" s="37"/>
      <c r="BO302" s="37"/>
    </row>
    <row r="303" ht="15.75" customHeight="1">
      <c r="BN303" s="37"/>
      <c r="BO303" s="37"/>
    </row>
    <row r="304" ht="15.75" customHeight="1">
      <c r="BN304" s="37"/>
      <c r="BO304" s="37"/>
    </row>
    <row r="305" ht="15.75" customHeight="1">
      <c r="BN305" s="37"/>
      <c r="BO305" s="37"/>
    </row>
    <row r="306" ht="15.75" customHeight="1">
      <c r="BN306" s="37"/>
      <c r="BO306" s="37"/>
    </row>
    <row r="307" ht="15.75" customHeight="1">
      <c r="BN307" s="37"/>
      <c r="BO307" s="37"/>
    </row>
    <row r="308" ht="15.75" customHeight="1">
      <c r="BN308" s="37"/>
      <c r="BO308" s="37"/>
    </row>
    <row r="309" ht="15.75" customHeight="1">
      <c r="BN309" s="37"/>
      <c r="BO309" s="37"/>
    </row>
    <row r="310" ht="15.75" customHeight="1">
      <c r="BN310" s="37"/>
      <c r="BO310" s="37"/>
    </row>
    <row r="311" ht="15.75" customHeight="1">
      <c r="BN311" s="37"/>
      <c r="BO311" s="37"/>
    </row>
    <row r="312" ht="15.75" customHeight="1">
      <c r="BN312" s="37"/>
      <c r="BO312" s="37"/>
    </row>
    <row r="313" ht="15.75" customHeight="1">
      <c r="BN313" s="37"/>
      <c r="BO313" s="37"/>
    </row>
    <row r="314" ht="15.75" customHeight="1">
      <c r="BN314" s="37"/>
      <c r="BO314" s="37"/>
    </row>
    <row r="315" ht="15.75" customHeight="1">
      <c r="BN315" s="37"/>
      <c r="BO315" s="37"/>
    </row>
    <row r="316" ht="15.75" customHeight="1">
      <c r="BN316" s="37"/>
      <c r="BO316" s="37"/>
    </row>
    <row r="317" ht="15.75" customHeight="1">
      <c r="BN317" s="37"/>
      <c r="BO317" s="37"/>
    </row>
    <row r="318" ht="15.75" customHeight="1">
      <c r="BN318" s="37"/>
      <c r="BO318" s="37"/>
    </row>
    <row r="319" ht="15.75" customHeight="1">
      <c r="BN319" s="37"/>
      <c r="BO319" s="37"/>
    </row>
    <row r="320" ht="15.75" customHeight="1">
      <c r="BN320" s="37"/>
      <c r="BO320" s="37"/>
    </row>
    <row r="321" ht="15.75" customHeight="1">
      <c r="BN321" s="37"/>
      <c r="BO321" s="37"/>
    </row>
    <row r="322" ht="15.75" customHeight="1">
      <c r="BN322" s="37"/>
      <c r="BO322" s="37"/>
    </row>
    <row r="323" ht="15.75" customHeight="1">
      <c r="BN323" s="37"/>
      <c r="BO323" s="37"/>
    </row>
    <row r="324" ht="15.75" customHeight="1">
      <c r="BN324" s="37"/>
      <c r="BO324" s="37"/>
    </row>
    <row r="325" ht="15.75" customHeight="1">
      <c r="BN325" s="37"/>
      <c r="BO325" s="37"/>
    </row>
    <row r="326" ht="15.75" customHeight="1">
      <c r="BN326" s="37"/>
      <c r="BO326" s="37"/>
    </row>
    <row r="327" ht="15.75" customHeight="1">
      <c r="BN327" s="37"/>
      <c r="BO327" s="37"/>
    </row>
    <row r="328" ht="15.75" customHeight="1">
      <c r="BN328" s="37"/>
      <c r="BO328" s="37"/>
    </row>
    <row r="329" ht="15.75" customHeight="1">
      <c r="BN329" s="37"/>
      <c r="BO329" s="37"/>
    </row>
    <row r="330" ht="15.75" customHeight="1">
      <c r="BN330" s="37"/>
      <c r="BO330" s="37"/>
    </row>
    <row r="331" ht="15.75" customHeight="1">
      <c r="BN331" s="37"/>
      <c r="BO331" s="37"/>
    </row>
    <row r="332" ht="15.75" customHeight="1">
      <c r="BN332" s="37"/>
      <c r="BO332" s="37"/>
    </row>
    <row r="333" ht="15.75" customHeight="1">
      <c r="BN333" s="37"/>
      <c r="BO333" s="37"/>
    </row>
    <row r="334" ht="15.75" customHeight="1">
      <c r="BN334" s="37"/>
      <c r="BO334" s="37"/>
    </row>
    <row r="335" ht="15.75" customHeight="1">
      <c r="BN335" s="37"/>
      <c r="BO335" s="37"/>
    </row>
    <row r="336" ht="15.75" customHeight="1">
      <c r="BN336" s="37"/>
      <c r="BO336" s="37"/>
    </row>
    <row r="337" ht="15.75" customHeight="1">
      <c r="BN337" s="37"/>
      <c r="BO337" s="37"/>
    </row>
    <row r="338" ht="15.75" customHeight="1">
      <c r="BN338" s="37"/>
      <c r="BO338" s="37"/>
    </row>
    <row r="339" ht="15.75" customHeight="1">
      <c r="BN339" s="37"/>
      <c r="BO339" s="37"/>
    </row>
    <row r="340" ht="15.75" customHeight="1">
      <c r="BN340" s="37"/>
      <c r="BO340" s="37"/>
    </row>
    <row r="341" ht="15.75" customHeight="1">
      <c r="BN341" s="37"/>
      <c r="BO341" s="37"/>
    </row>
    <row r="342" ht="15.75" customHeight="1">
      <c r="BN342" s="37"/>
      <c r="BO342" s="37"/>
    </row>
    <row r="343" ht="15.75" customHeight="1">
      <c r="BN343" s="37"/>
      <c r="BO343" s="37"/>
    </row>
    <row r="344" ht="15.75" customHeight="1">
      <c r="BN344" s="37"/>
      <c r="BO344" s="37"/>
    </row>
    <row r="345" ht="15.75" customHeight="1">
      <c r="BN345" s="37"/>
      <c r="BO345" s="37"/>
    </row>
    <row r="346" ht="15.75" customHeight="1">
      <c r="BN346" s="37"/>
      <c r="BO346" s="37"/>
    </row>
    <row r="347" ht="15.75" customHeight="1">
      <c r="BN347" s="37"/>
      <c r="BO347" s="37"/>
    </row>
    <row r="348" ht="15.75" customHeight="1">
      <c r="BN348" s="37"/>
      <c r="BO348" s="37"/>
    </row>
    <row r="349" ht="15.75" customHeight="1">
      <c r="BN349" s="37"/>
      <c r="BO349" s="37"/>
    </row>
    <row r="350" ht="15.75" customHeight="1">
      <c r="BN350" s="37"/>
      <c r="BO350" s="37"/>
    </row>
    <row r="351" ht="15.75" customHeight="1">
      <c r="BN351" s="37"/>
      <c r="BO351" s="37"/>
    </row>
    <row r="352" ht="15.75" customHeight="1">
      <c r="BN352" s="37"/>
      <c r="BO352" s="37"/>
    </row>
    <row r="353" ht="15.75" customHeight="1">
      <c r="BN353" s="37"/>
      <c r="BO353" s="37"/>
    </row>
    <row r="354" ht="15.75" customHeight="1">
      <c r="BN354" s="37"/>
      <c r="BO354" s="37"/>
    </row>
    <row r="355" ht="15.75" customHeight="1">
      <c r="BN355" s="37"/>
      <c r="BO355" s="37"/>
    </row>
    <row r="356" ht="15.75" customHeight="1">
      <c r="BN356" s="37"/>
      <c r="BO356" s="37"/>
    </row>
    <row r="357" ht="15.75" customHeight="1">
      <c r="BN357" s="37"/>
      <c r="BO357" s="37"/>
    </row>
    <row r="358" ht="15.75" customHeight="1">
      <c r="BN358" s="37"/>
      <c r="BO358" s="37"/>
    </row>
    <row r="359" ht="15.75" customHeight="1">
      <c r="BN359" s="37"/>
      <c r="BO359" s="37"/>
    </row>
    <row r="360" ht="15.75" customHeight="1">
      <c r="BN360" s="37"/>
      <c r="BO360" s="37"/>
    </row>
    <row r="361" ht="15.75" customHeight="1">
      <c r="BN361" s="37"/>
      <c r="BO361" s="37"/>
    </row>
    <row r="362" ht="15.75" customHeight="1">
      <c r="BN362" s="37"/>
      <c r="BO362" s="37"/>
    </row>
    <row r="363" ht="15.75" customHeight="1">
      <c r="BN363" s="37"/>
      <c r="BO363" s="37"/>
    </row>
    <row r="364" ht="15.75" customHeight="1">
      <c r="BN364" s="37"/>
      <c r="BO364" s="37"/>
    </row>
    <row r="365" ht="15.75" customHeight="1">
      <c r="BN365" s="37"/>
      <c r="BO365" s="37"/>
    </row>
    <row r="366" ht="15.75" customHeight="1">
      <c r="BN366" s="37"/>
      <c r="BO366" s="37"/>
    </row>
    <row r="367" ht="15.75" customHeight="1">
      <c r="BN367" s="37"/>
      <c r="BO367" s="37"/>
    </row>
    <row r="368" ht="15.75" customHeight="1">
      <c r="BN368" s="37"/>
      <c r="BO368" s="37"/>
    </row>
    <row r="369" ht="15.75" customHeight="1">
      <c r="BN369" s="37"/>
      <c r="BO369" s="37"/>
    </row>
    <row r="370" ht="15.75" customHeight="1">
      <c r="BN370" s="37"/>
      <c r="BO370" s="37"/>
    </row>
    <row r="371" ht="15.75" customHeight="1">
      <c r="BN371" s="37"/>
      <c r="BO371" s="37"/>
    </row>
    <row r="372" ht="15.75" customHeight="1">
      <c r="BN372" s="37"/>
      <c r="BO372" s="37"/>
    </row>
    <row r="373" ht="15.75" customHeight="1">
      <c r="BN373" s="37"/>
      <c r="BO373" s="37"/>
    </row>
    <row r="374" ht="15.75" customHeight="1">
      <c r="BN374" s="37"/>
      <c r="BO374" s="37"/>
    </row>
    <row r="375" ht="15.75" customHeight="1">
      <c r="BN375" s="37"/>
      <c r="BO375" s="37"/>
    </row>
    <row r="376" ht="15.75" customHeight="1">
      <c r="BN376" s="37"/>
      <c r="BO376" s="37"/>
    </row>
    <row r="377" ht="15.75" customHeight="1">
      <c r="BN377" s="37"/>
      <c r="BO377" s="37"/>
    </row>
    <row r="378" ht="15.75" customHeight="1">
      <c r="BN378" s="37"/>
      <c r="BO378" s="37"/>
    </row>
    <row r="379" ht="15.75" customHeight="1">
      <c r="BN379" s="37"/>
      <c r="BO379" s="37"/>
    </row>
    <row r="380" ht="15.75" customHeight="1">
      <c r="BN380" s="37"/>
      <c r="BO380" s="37"/>
    </row>
    <row r="381" ht="15.75" customHeight="1">
      <c r="BN381" s="37"/>
      <c r="BO381" s="37"/>
    </row>
    <row r="382" ht="15.75" customHeight="1">
      <c r="BN382" s="37"/>
      <c r="BO382" s="37"/>
    </row>
    <row r="383" ht="15.75" customHeight="1">
      <c r="BN383" s="37"/>
      <c r="BO383" s="37"/>
    </row>
    <row r="384" ht="15.75" customHeight="1">
      <c r="BN384" s="37"/>
      <c r="BO384" s="37"/>
    </row>
    <row r="385" ht="15.75" customHeight="1">
      <c r="BN385" s="37"/>
      <c r="BO385" s="37"/>
    </row>
    <row r="386" ht="15.75" customHeight="1">
      <c r="BN386" s="37"/>
      <c r="BO386" s="37"/>
    </row>
    <row r="387" ht="15.75" customHeight="1">
      <c r="BN387" s="37"/>
      <c r="BO387" s="37"/>
    </row>
    <row r="388" ht="15.75" customHeight="1">
      <c r="BN388" s="37"/>
      <c r="BO388" s="37"/>
    </row>
    <row r="389" ht="15.75" customHeight="1">
      <c r="BN389" s="37"/>
      <c r="BO389" s="37"/>
    </row>
    <row r="390" ht="15.75" customHeight="1">
      <c r="BN390" s="37"/>
      <c r="BO390" s="37"/>
    </row>
    <row r="391" ht="15.75" customHeight="1">
      <c r="BN391" s="37"/>
      <c r="BO391" s="37"/>
    </row>
    <row r="392" ht="15.75" customHeight="1">
      <c r="BN392" s="37"/>
      <c r="BO392" s="37"/>
    </row>
    <row r="393" ht="15.75" customHeight="1">
      <c r="BN393" s="37"/>
      <c r="BO393" s="37"/>
    </row>
    <row r="394" ht="15.75" customHeight="1">
      <c r="BN394" s="37"/>
      <c r="BO394" s="37"/>
    </row>
    <row r="395" ht="15.75" customHeight="1">
      <c r="BN395" s="37"/>
      <c r="BO395" s="37"/>
    </row>
    <row r="396" ht="15.75" customHeight="1">
      <c r="BN396" s="37"/>
      <c r="BO396" s="37"/>
    </row>
    <row r="397" ht="15.75" customHeight="1">
      <c r="BN397" s="37"/>
      <c r="BO397" s="37"/>
    </row>
    <row r="398" ht="15.75" customHeight="1">
      <c r="BN398" s="37"/>
      <c r="BO398" s="37"/>
    </row>
    <row r="399" ht="15.75" customHeight="1">
      <c r="BN399" s="37"/>
      <c r="BO399" s="37"/>
    </row>
    <row r="400" ht="15.75" customHeight="1">
      <c r="BN400" s="37"/>
      <c r="BO400" s="37"/>
    </row>
    <row r="401" ht="15.75" customHeight="1">
      <c r="BN401" s="37"/>
      <c r="BO401" s="37"/>
    </row>
    <row r="402" ht="15.75" customHeight="1">
      <c r="BN402" s="37"/>
      <c r="BO402" s="37"/>
    </row>
    <row r="403" ht="15.75" customHeight="1">
      <c r="BN403" s="37"/>
      <c r="BO403" s="37"/>
    </row>
    <row r="404" ht="15.75" customHeight="1">
      <c r="BN404" s="37"/>
      <c r="BO404" s="37"/>
    </row>
    <row r="405" ht="15.75" customHeight="1">
      <c r="BN405" s="37"/>
      <c r="BO405" s="37"/>
    </row>
    <row r="406" ht="15.75" customHeight="1">
      <c r="BN406" s="37"/>
      <c r="BO406" s="37"/>
    </row>
    <row r="407" ht="15.75" customHeight="1">
      <c r="BN407" s="37"/>
      <c r="BO407" s="37"/>
    </row>
    <row r="408" ht="15.75" customHeight="1">
      <c r="BN408" s="37"/>
      <c r="BO408" s="37"/>
    </row>
    <row r="409" ht="15.75" customHeight="1">
      <c r="BN409" s="37"/>
      <c r="BO409" s="37"/>
    </row>
    <row r="410" ht="15.75" customHeight="1">
      <c r="BN410" s="37"/>
      <c r="BO410" s="37"/>
    </row>
    <row r="411" ht="15.75" customHeight="1">
      <c r="BN411" s="37"/>
      <c r="BO411" s="37"/>
    </row>
    <row r="412" ht="15.75" customHeight="1">
      <c r="BN412" s="37"/>
      <c r="BO412" s="37"/>
    </row>
    <row r="413" ht="15.75" customHeight="1">
      <c r="BN413" s="37"/>
      <c r="BO413" s="37"/>
    </row>
    <row r="414" ht="15.75" customHeight="1">
      <c r="BN414" s="37"/>
      <c r="BO414" s="37"/>
    </row>
    <row r="415" ht="15.75" customHeight="1">
      <c r="BN415" s="37"/>
      <c r="BO415" s="37"/>
    </row>
    <row r="416" ht="15.75" customHeight="1">
      <c r="BN416" s="37"/>
      <c r="BO416" s="37"/>
    </row>
    <row r="417" ht="15.75" customHeight="1">
      <c r="BN417" s="37"/>
      <c r="BO417" s="37"/>
    </row>
    <row r="418" ht="15.75" customHeight="1">
      <c r="BN418" s="37"/>
      <c r="BO418" s="37"/>
    </row>
    <row r="419" ht="15.75" customHeight="1">
      <c r="BN419" s="37"/>
      <c r="BO419" s="37"/>
    </row>
    <row r="420" ht="15.75" customHeight="1">
      <c r="BN420" s="37"/>
      <c r="BO420" s="37"/>
    </row>
    <row r="421" ht="15.75" customHeight="1">
      <c r="BN421" s="37"/>
      <c r="BO421" s="37"/>
    </row>
    <row r="422" ht="15.75" customHeight="1">
      <c r="BN422" s="37"/>
      <c r="BO422" s="37"/>
    </row>
    <row r="423" ht="15.75" customHeight="1">
      <c r="BN423" s="37"/>
      <c r="BO423" s="37"/>
    </row>
    <row r="424" ht="15.75" customHeight="1">
      <c r="BN424" s="37"/>
      <c r="BO424" s="37"/>
    </row>
    <row r="425" ht="15.75" customHeight="1">
      <c r="BN425" s="37"/>
      <c r="BO425" s="37"/>
    </row>
    <row r="426" ht="15.75" customHeight="1">
      <c r="BN426" s="37"/>
      <c r="BO426" s="37"/>
    </row>
    <row r="427" ht="15.75" customHeight="1">
      <c r="BN427" s="37"/>
      <c r="BO427" s="37"/>
    </row>
    <row r="428" ht="15.75" customHeight="1">
      <c r="BN428" s="37"/>
      <c r="BO428" s="37"/>
    </row>
    <row r="429" ht="15.75" customHeight="1">
      <c r="BN429" s="37"/>
      <c r="BO429" s="37"/>
    </row>
    <row r="430" ht="15.75" customHeight="1">
      <c r="BN430" s="37"/>
      <c r="BO430" s="37"/>
    </row>
    <row r="431" ht="15.75" customHeight="1">
      <c r="BN431" s="37"/>
      <c r="BO431" s="37"/>
    </row>
    <row r="432" ht="15.75" customHeight="1">
      <c r="BN432" s="37"/>
      <c r="BO432" s="37"/>
    </row>
    <row r="433" ht="15.75" customHeight="1">
      <c r="BN433" s="37"/>
      <c r="BO433" s="37"/>
    </row>
    <row r="434" ht="15.75" customHeight="1">
      <c r="BN434" s="37"/>
      <c r="BO434" s="37"/>
    </row>
    <row r="435" ht="15.75" customHeight="1">
      <c r="BN435" s="37"/>
      <c r="BO435" s="37"/>
    </row>
    <row r="436" ht="15.75" customHeight="1">
      <c r="BN436" s="37"/>
      <c r="BO436" s="37"/>
    </row>
    <row r="437" ht="15.75" customHeight="1">
      <c r="BN437" s="37"/>
      <c r="BO437" s="37"/>
    </row>
    <row r="438" ht="15.75" customHeight="1">
      <c r="BN438" s="37"/>
      <c r="BO438" s="37"/>
    </row>
    <row r="439" ht="15.75" customHeight="1">
      <c r="BN439" s="37"/>
      <c r="BO439" s="37"/>
    </row>
    <row r="440" ht="15.75" customHeight="1">
      <c r="BN440" s="37"/>
      <c r="BO440" s="37"/>
    </row>
    <row r="441" ht="15.75" customHeight="1">
      <c r="BN441" s="37"/>
      <c r="BO441" s="37"/>
    </row>
    <row r="442" ht="15.75" customHeight="1">
      <c r="BN442" s="37"/>
      <c r="BO442" s="37"/>
    </row>
    <row r="443" ht="15.75" customHeight="1">
      <c r="BN443" s="37"/>
      <c r="BO443" s="37"/>
    </row>
    <row r="444" ht="15.75" customHeight="1">
      <c r="BN444" s="37"/>
      <c r="BO444" s="37"/>
    </row>
    <row r="445" ht="15.75" customHeight="1">
      <c r="BN445" s="37"/>
      <c r="BO445" s="37"/>
    </row>
    <row r="446" ht="15.75" customHeight="1">
      <c r="BN446" s="37"/>
      <c r="BO446" s="37"/>
    </row>
    <row r="447" ht="15.75" customHeight="1">
      <c r="BN447" s="37"/>
      <c r="BO447" s="37"/>
    </row>
    <row r="448" ht="15.75" customHeight="1">
      <c r="BN448" s="37"/>
      <c r="BO448" s="37"/>
    </row>
    <row r="449" ht="15.75" customHeight="1">
      <c r="BN449" s="37"/>
      <c r="BO449" s="37"/>
    </row>
    <row r="450" ht="15.75" customHeight="1">
      <c r="BN450" s="37"/>
      <c r="BO450" s="37"/>
    </row>
    <row r="451" ht="15.75" customHeight="1">
      <c r="BN451" s="37"/>
      <c r="BO451" s="37"/>
    </row>
    <row r="452" ht="15.75" customHeight="1">
      <c r="BN452" s="37"/>
      <c r="BO452" s="37"/>
    </row>
    <row r="453" ht="15.75" customHeight="1">
      <c r="BN453" s="37"/>
      <c r="BO453" s="37"/>
    </row>
    <row r="454" ht="15.75" customHeight="1">
      <c r="BN454" s="37"/>
      <c r="BO454" s="37"/>
    </row>
    <row r="455" ht="15.75" customHeight="1">
      <c r="BN455" s="37"/>
      <c r="BO455" s="37"/>
    </row>
    <row r="456" ht="15.75" customHeight="1">
      <c r="BN456" s="37"/>
      <c r="BO456" s="37"/>
    </row>
    <row r="457" ht="15.75" customHeight="1">
      <c r="BN457" s="37"/>
      <c r="BO457" s="37"/>
    </row>
    <row r="458" ht="15.75" customHeight="1">
      <c r="BN458" s="37"/>
      <c r="BO458" s="37"/>
    </row>
    <row r="459" ht="15.75" customHeight="1">
      <c r="BN459" s="37"/>
      <c r="BO459" s="37"/>
    </row>
    <row r="460" ht="15.75" customHeight="1">
      <c r="BN460" s="37"/>
      <c r="BO460" s="37"/>
    </row>
    <row r="461" ht="15.75" customHeight="1">
      <c r="BN461" s="37"/>
      <c r="BO461" s="37"/>
    </row>
    <row r="462" ht="15.75" customHeight="1">
      <c r="BN462" s="37"/>
      <c r="BO462" s="37"/>
    </row>
    <row r="463" ht="15.75" customHeight="1">
      <c r="BN463" s="37"/>
      <c r="BO463" s="37"/>
    </row>
    <row r="464" ht="15.75" customHeight="1">
      <c r="BN464" s="37"/>
      <c r="BO464" s="37"/>
    </row>
    <row r="465" ht="15.75" customHeight="1">
      <c r="BN465" s="37"/>
      <c r="BO465" s="37"/>
    </row>
    <row r="466" ht="15.75" customHeight="1">
      <c r="BN466" s="37"/>
      <c r="BO466" s="37"/>
    </row>
    <row r="467" ht="15.75" customHeight="1">
      <c r="BN467" s="37"/>
      <c r="BO467" s="37"/>
    </row>
    <row r="468" ht="15.75" customHeight="1">
      <c r="BN468" s="37"/>
      <c r="BO468" s="37"/>
    </row>
    <row r="469" ht="15.75" customHeight="1">
      <c r="BN469" s="37"/>
      <c r="BO469" s="37"/>
    </row>
    <row r="470" ht="15.75" customHeight="1">
      <c r="BN470" s="37"/>
      <c r="BO470" s="37"/>
    </row>
    <row r="471" ht="15.75" customHeight="1">
      <c r="BN471" s="37"/>
      <c r="BO471" s="37"/>
    </row>
    <row r="472" ht="15.75" customHeight="1">
      <c r="BN472" s="37"/>
      <c r="BO472" s="37"/>
    </row>
    <row r="473" ht="15.75" customHeight="1">
      <c r="BN473" s="37"/>
      <c r="BO473" s="37"/>
    </row>
    <row r="474" ht="15.75" customHeight="1">
      <c r="BN474" s="37"/>
      <c r="BO474" s="37"/>
    </row>
    <row r="475" ht="15.75" customHeight="1">
      <c r="BN475" s="37"/>
      <c r="BO475" s="37"/>
    </row>
    <row r="476" ht="15.75" customHeight="1">
      <c r="BN476" s="37"/>
      <c r="BO476" s="37"/>
    </row>
    <row r="477" ht="15.75" customHeight="1">
      <c r="BN477" s="37"/>
      <c r="BO477" s="37"/>
    </row>
    <row r="478" ht="15.75" customHeight="1">
      <c r="BN478" s="37"/>
      <c r="BO478" s="37"/>
    </row>
    <row r="479" ht="15.75" customHeight="1">
      <c r="BN479" s="37"/>
      <c r="BO479" s="37"/>
    </row>
    <row r="480" ht="15.75" customHeight="1">
      <c r="BN480" s="37"/>
      <c r="BO480" s="37"/>
    </row>
    <row r="481" ht="15.75" customHeight="1">
      <c r="BN481" s="37"/>
      <c r="BO481" s="37"/>
    </row>
    <row r="482" ht="15.75" customHeight="1">
      <c r="BN482" s="37"/>
      <c r="BO482" s="37"/>
    </row>
    <row r="483" ht="15.75" customHeight="1">
      <c r="BN483" s="37"/>
      <c r="BO483" s="37"/>
    </row>
    <row r="484" ht="15.75" customHeight="1">
      <c r="BN484" s="37"/>
      <c r="BO484" s="37"/>
    </row>
    <row r="485" ht="15.75" customHeight="1">
      <c r="BN485" s="37"/>
      <c r="BO485" s="37"/>
    </row>
    <row r="486" ht="15.75" customHeight="1">
      <c r="BN486" s="37"/>
      <c r="BO486" s="37"/>
    </row>
    <row r="487" ht="15.75" customHeight="1">
      <c r="BN487" s="37"/>
      <c r="BO487" s="37"/>
    </row>
    <row r="488" ht="15.75" customHeight="1">
      <c r="BN488" s="37"/>
      <c r="BO488" s="37"/>
    </row>
    <row r="489" ht="15.75" customHeight="1">
      <c r="BN489" s="37"/>
      <c r="BO489" s="37"/>
    </row>
    <row r="490" ht="15.75" customHeight="1">
      <c r="BN490" s="37"/>
      <c r="BO490" s="37"/>
    </row>
    <row r="491" ht="15.75" customHeight="1">
      <c r="BN491" s="37"/>
      <c r="BO491" s="37"/>
    </row>
    <row r="492" ht="15.75" customHeight="1">
      <c r="BN492" s="37"/>
      <c r="BO492" s="37"/>
    </row>
    <row r="493" ht="15.75" customHeight="1">
      <c r="BN493" s="37"/>
      <c r="BO493" s="37"/>
    </row>
    <row r="494" ht="15.75" customHeight="1">
      <c r="BN494" s="37"/>
      <c r="BO494" s="37"/>
    </row>
    <row r="495" ht="15.75" customHeight="1">
      <c r="BN495" s="37"/>
      <c r="BO495" s="37"/>
    </row>
    <row r="496" ht="15.75" customHeight="1">
      <c r="BN496" s="37"/>
      <c r="BO496" s="37"/>
    </row>
    <row r="497" ht="15.75" customHeight="1">
      <c r="BN497" s="37"/>
      <c r="BO497" s="37"/>
    </row>
    <row r="498" ht="15.75" customHeight="1">
      <c r="BN498" s="37"/>
      <c r="BO498" s="37"/>
    </row>
    <row r="499" ht="15.75" customHeight="1">
      <c r="BN499" s="37"/>
      <c r="BO499" s="37"/>
    </row>
    <row r="500" ht="15.75" customHeight="1">
      <c r="BN500" s="37"/>
      <c r="BO500" s="37"/>
    </row>
    <row r="501" ht="15.75" customHeight="1">
      <c r="BN501" s="37"/>
      <c r="BO501" s="37"/>
    </row>
    <row r="502" ht="15.75" customHeight="1">
      <c r="BN502" s="37"/>
      <c r="BO502" s="37"/>
    </row>
    <row r="503" ht="15.75" customHeight="1">
      <c r="BN503" s="37"/>
      <c r="BO503" s="37"/>
    </row>
    <row r="504" ht="15.75" customHeight="1">
      <c r="BN504" s="37"/>
      <c r="BO504" s="37"/>
    </row>
    <row r="505" ht="15.75" customHeight="1">
      <c r="BN505" s="37"/>
      <c r="BO505" s="37"/>
    </row>
    <row r="506" ht="15.75" customHeight="1">
      <c r="BN506" s="37"/>
      <c r="BO506" s="37"/>
    </row>
    <row r="507" ht="15.75" customHeight="1">
      <c r="BN507" s="37"/>
      <c r="BO507" s="37"/>
    </row>
    <row r="508" ht="15.75" customHeight="1">
      <c r="BN508" s="37"/>
      <c r="BO508" s="37"/>
    </row>
    <row r="509" ht="15.75" customHeight="1">
      <c r="BN509" s="37"/>
      <c r="BO509" s="37"/>
    </row>
    <row r="510" ht="15.75" customHeight="1">
      <c r="BN510" s="37"/>
      <c r="BO510" s="37"/>
    </row>
    <row r="511" ht="15.75" customHeight="1">
      <c r="BN511" s="37"/>
      <c r="BO511" s="37"/>
    </row>
    <row r="512" ht="15.75" customHeight="1">
      <c r="BN512" s="37"/>
      <c r="BO512" s="37"/>
    </row>
    <row r="513" ht="15.75" customHeight="1">
      <c r="BN513" s="37"/>
      <c r="BO513" s="37"/>
    </row>
    <row r="514" ht="15.75" customHeight="1">
      <c r="BN514" s="37"/>
      <c r="BO514" s="37"/>
    </row>
    <row r="515" ht="15.75" customHeight="1">
      <c r="BN515" s="37"/>
      <c r="BO515" s="37"/>
    </row>
    <row r="516" ht="15.75" customHeight="1">
      <c r="BN516" s="37"/>
      <c r="BO516" s="37"/>
    </row>
    <row r="517" ht="15.75" customHeight="1">
      <c r="BN517" s="37"/>
      <c r="BO517" s="37"/>
    </row>
    <row r="518" ht="15.75" customHeight="1">
      <c r="BN518" s="37"/>
      <c r="BO518" s="37"/>
    </row>
    <row r="519" ht="15.75" customHeight="1">
      <c r="BN519" s="37"/>
      <c r="BO519" s="37"/>
    </row>
    <row r="520" ht="15.75" customHeight="1">
      <c r="BN520" s="37"/>
      <c r="BO520" s="37"/>
    </row>
    <row r="521" ht="15.75" customHeight="1">
      <c r="BN521" s="37"/>
      <c r="BO521" s="37"/>
    </row>
    <row r="522" ht="15.75" customHeight="1">
      <c r="BN522" s="37"/>
      <c r="BO522" s="37"/>
    </row>
    <row r="523" ht="15.75" customHeight="1">
      <c r="BN523" s="37"/>
      <c r="BO523" s="37"/>
    </row>
    <row r="524" ht="15.75" customHeight="1">
      <c r="BN524" s="37"/>
      <c r="BO524" s="37"/>
    </row>
    <row r="525" ht="15.75" customHeight="1">
      <c r="BN525" s="37"/>
      <c r="BO525" s="37"/>
    </row>
    <row r="526" ht="15.75" customHeight="1">
      <c r="BN526" s="37"/>
      <c r="BO526" s="37"/>
    </row>
    <row r="527" ht="15.75" customHeight="1">
      <c r="BN527" s="37"/>
      <c r="BO527" s="37"/>
    </row>
    <row r="528" ht="15.75" customHeight="1">
      <c r="BN528" s="37"/>
      <c r="BO528" s="37"/>
    </row>
    <row r="529" ht="15.75" customHeight="1">
      <c r="BN529" s="37"/>
      <c r="BO529" s="37"/>
    </row>
    <row r="530" ht="15.75" customHeight="1">
      <c r="BN530" s="37"/>
      <c r="BO530" s="37"/>
    </row>
    <row r="531" ht="15.75" customHeight="1">
      <c r="BN531" s="37"/>
      <c r="BO531" s="37"/>
    </row>
    <row r="532" ht="15.75" customHeight="1">
      <c r="BN532" s="37"/>
      <c r="BO532" s="37"/>
    </row>
    <row r="533" ht="15.75" customHeight="1">
      <c r="BN533" s="37"/>
      <c r="BO533" s="37"/>
    </row>
    <row r="534" ht="15.75" customHeight="1">
      <c r="BN534" s="37"/>
      <c r="BO534" s="37"/>
    </row>
    <row r="535" ht="15.75" customHeight="1">
      <c r="BN535" s="37"/>
      <c r="BO535" s="37"/>
    </row>
    <row r="536" ht="15.75" customHeight="1">
      <c r="BN536" s="37"/>
      <c r="BO536" s="37"/>
    </row>
    <row r="537" ht="15.75" customHeight="1">
      <c r="BN537" s="37"/>
      <c r="BO537" s="37"/>
    </row>
    <row r="538" ht="15.75" customHeight="1">
      <c r="BN538" s="37"/>
      <c r="BO538" s="37"/>
    </row>
    <row r="539" ht="15.75" customHeight="1">
      <c r="BN539" s="37"/>
      <c r="BO539" s="37"/>
    </row>
    <row r="540" ht="15.75" customHeight="1">
      <c r="BN540" s="37"/>
      <c r="BO540" s="37"/>
    </row>
    <row r="541" ht="15.75" customHeight="1">
      <c r="BN541" s="37"/>
      <c r="BO541" s="37"/>
    </row>
    <row r="542" ht="15.75" customHeight="1">
      <c r="BN542" s="37"/>
      <c r="BO542" s="37"/>
    </row>
    <row r="543" ht="15.75" customHeight="1">
      <c r="BN543" s="37"/>
      <c r="BO543" s="37"/>
    </row>
    <row r="544" ht="15.75" customHeight="1">
      <c r="BN544" s="37"/>
      <c r="BO544" s="37"/>
    </row>
    <row r="545" ht="15.75" customHeight="1">
      <c r="BN545" s="37"/>
      <c r="BO545" s="37"/>
    </row>
    <row r="546" ht="15.75" customHeight="1">
      <c r="BN546" s="37"/>
      <c r="BO546" s="37"/>
    </row>
    <row r="547" ht="15.75" customHeight="1">
      <c r="BN547" s="37"/>
      <c r="BO547" s="37"/>
    </row>
    <row r="548" ht="15.75" customHeight="1">
      <c r="BN548" s="37"/>
      <c r="BO548" s="37"/>
    </row>
    <row r="549" ht="15.75" customHeight="1">
      <c r="BN549" s="37"/>
      <c r="BO549" s="37"/>
    </row>
    <row r="550" ht="15.75" customHeight="1">
      <c r="BN550" s="37"/>
      <c r="BO550" s="37"/>
    </row>
    <row r="551" ht="15.75" customHeight="1">
      <c r="BN551" s="37"/>
      <c r="BO551" s="37"/>
    </row>
    <row r="552" ht="15.75" customHeight="1">
      <c r="BN552" s="37"/>
      <c r="BO552" s="37"/>
    </row>
    <row r="553" ht="15.75" customHeight="1">
      <c r="BN553" s="37"/>
      <c r="BO553" s="37"/>
    </row>
    <row r="554" ht="15.75" customHeight="1">
      <c r="BN554" s="37"/>
      <c r="BO554" s="37"/>
    </row>
    <row r="555" ht="15.75" customHeight="1">
      <c r="BN555" s="37"/>
      <c r="BO555" s="37"/>
    </row>
    <row r="556" ht="15.75" customHeight="1">
      <c r="BN556" s="37"/>
      <c r="BO556" s="37"/>
    </row>
    <row r="557" ht="15.75" customHeight="1">
      <c r="BN557" s="37"/>
      <c r="BO557" s="37"/>
    </row>
    <row r="558" ht="15.75" customHeight="1">
      <c r="BN558" s="37"/>
      <c r="BO558" s="37"/>
    </row>
    <row r="559" ht="15.75" customHeight="1">
      <c r="BN559" s="37"/>
      <c r="BO559" s="37"/>
    </row>
    <row r="560" ht="15.75" customHeight="1">
      <c r="BN560" s="37"/>
      <c r="BO560" s="37"/>
    </row>
    <row r="561" ht="15.75" customHeight="1">
      <c r="BN561" s="37"/>
      <c r="BO561" s="37"/>
    </row>
    <row r="562" ht="15.75" customHeight="1">
      <c r="BN562" s="37"/>
      <c r="BO562" s="37"/>
    </row>
    <row r="563" ht="15.75" customHeight="1">
      <c r="BN563" s="37"/>
      <c r="BO563" s="37"/>
    </row>
    <row r="564" ht="15.75" customHeight="1">
      <c r="BN564" s="37"/>
      <c r="BO564" s="37"/>
    </row>
    <row r="565" ht="15.75" customHeight="1">
      <c r="BN565" s="37"/>
      <c r="BO565" s="37"/>
    </row>
    <row r="566" ht="15.75" customHeight="1">
      <c r="BN566" s="37"/>
      <c r="BO566" s="37"/>
    </row>
    <row r="567" ht="15.75" customHeight="1">
      <c r="BN567" s="37"/>
      <c r="BO567" s="37"/>
    </row>
    <row r="568" ht="15.75" customHeight="1">
      <c r="BN568" s="37"/>
      <c r="BO568" s="37"/>
    </row>
    <row r="569" ht="15.75" customHeight="1">
      <c r="BN569" s="37"/>
      <c r="BO569" s="37"/>
    </row>
    <row r="570" ht="15.75" customHeight="1">
      <c r="BN570" s="37"/>
      <c r="BO570" s="37"/>
    </row>
    <row r="571" ht="15.75" customHeight="1">
      <c r="BN571" s="37"/>
      <c r="BO571" s="37"/>
    </row>
    <row r="572" ht="15.75" customHeight="1">
      <c r="BN572" s="37"/>
      <c r="BO572" s="37"/>
    </row>
    <row r="573" ht="15.75" customHeight="1">
      <c r="BN573" s="37"/>
      <c r="BO573" s="37"/>
    </row>
    <row r="574" ht="15.75" customHeight="1">
      <c r="BN574" s="37"/>
      <c r="BO574" s="37"/>
    </row>
    <row r="575" ht="15.75" customHeight="1">
      <c r="BN575" s="37"/>
      <c r="BO575" s="37"/>
    </row>
    <row r="576" ht="15.75" customHeight="1">
      <c r="BN576" s="37"/>
      <c r="BO576" s="37"/>
    </row>
    <row r="577" ht="15.75" customHeight="1">
      <c r="BN577" s="37"/>
      <c r="BO577" s="37"/>
    </row>
    <row r="578" ht="15.75" customHeight="1">
      <c r="BN578" s="37"/>
      <c r="BO578" s="37"/>
    </row>
    <row r="579" ht="15.75" customHeight="1">
      <c r="BN579" s="37"/>
      <c r="BO579" s="37"/>
    </row>
    <row r="580" ht="15.75" customHeight="1">
      <c r="BN580" s="37"/>
      <c r="BO580" s="37"/>
    </row>
    <row r="581" ht="15.75" customHeight="1">
      <c r="BN581" s="37"/>
      <c r="BO581" s="37"/>
    </row>
    <row r="582" ht="15.75" customHeight="1">
      <c r="BN582" s="37"/>
      <c r="BO582" s="37"/>
    </row>
    <row r="583" ht="15.75" customHeight="1">
      <c r="BN583" s="37"/>
      <c r="BO583" s="37"/>
    </row>
    <row r="584" ht="15.75" customHeight="1">
      <c r="BN584" s="37"/>
      <c r="BO584" s="37"/>
    </row>
    <row r="585" ht="15.75" customHeight="1">
      <c r="BN585" s="37"/>
      <c r="BO585" s="37"/>
    </row>
    <row r="586" ht="15.75" customHeight="1">
      <c r="BN586" s="37"/>
      <c r="BO586" s="37"/>
    </row>
    <row r="587" ht="15.75" customHeight="1">
      <c r="BN587" s="37"/>
      <c r="BO587" s="37"/>
    </row>
    <row r="588" ht="15.75" customHeight="1">
      <c r="BN588" s="37"/>
      <c r="BO588" s="37"/>
    </row>
    <row r="589" ht="15.75" customHeight="1">
      <c r="BN589" s="37"/>
      <c r="BO589" s="37"/>
    </row>
    <row r="590" ht="15.75" customHeight="1">
      <c r="BN590" s="37"/>
      <c r="BO590" s="37"/>
    </row>
    <row r="591" ht="15.75" customHeight="1">
      <c r="BN591" s="37"/>
      <c r="BO591" s="37"/>
    </row>
    <row r="592" ht="15.75" customHeight="1">
      <c r="BN592" s="37"/>
      <c r="BO592" s="37"/>
    </row>
    <row r="593" ht="15.75" customHeight="1">
      <c r="BN593" s="37"/>
      <c r="BO593" s="37"/>
    </row>
    <row r="594" ht="15.75" customHeight="1">
      <c r="BN594" s="37"/>
      <c r="BO594" s="37"/>
    </row>
    <row r="595" ht="15.75" customHeight="1">
      <c r="BN595" s="37"/>
      <c r="BO595" s="37"/>
    </row>
    <row r="596" ht="15.75" customHeight="1">
      <c r="BN596" s="37"/>
      <c r="BO596" s="37"/>
    </row>
    <row r="597" ht="15.75" customHeight="1">
      <c r="BN597" s="37"/>
      <c r="BO597" s="37"/>
    </row>
    <row r="598" ht="15.75" customHeight="1">
      <c r="BN598" s="37"/>
      <c r="BO598" s="37"/>
    </row>
    <row r="599" ht="15.75" customHeight="1">
      <c r="BN599" s="37"/>
      <c r="BO599" s="37"/>
    </row>
    <row r="600" ht="15.75" customHeight="1">
      <c r="BN600" s="37"/>
      <c r="BO600" s="37"/>
    </row>
    <row r="601" ht="15.75" customHeight="1">
      <c r="BN601" s="37"/>
      <c r="BO601" s="37"/>
    </row>
    <row r="602" ht="15.75" customHeight="1">
      <c r="BN602" s="37"/>
      <c r="BO602" s="37"/>
    </row>
    <row r="603" ht="15.75" customHeight="1">
      <c r="BN603" s="37"/>
      <c r="BO603" s="37"/>
    </row>
    <row r="604" ht="15.75" customHeight="1">
      <c r="BN604" s="37"/>
      <c r="BO604" s="37"/>
    </row>
    <row r="605" ht="15.75" customHeight="1">
      <c r="BN605" s="37"/>
      <c r="BO605" s="37"/>
    </row>
    <row r="606" ht="15.75" customHeight="1">
      <c r="BN606" s="37"/>
      <c r="BO606" s="37"/>
    </row>
    <row r="607" ht="15.75" customHeight="1">
      <c r="BN607" s="37"/>
      <c r="BO607" s="37"/>
    </row>
    <row r="608" ht="15.75" customHeight="1">
      <c r="BN608" s="37"/>
      <c r="BO608" s="37"/>
    </row>
    <row r="609" ht="15.75" customHeight="1">
      <c r="BN609" s="37"/>
      <c r="BO609" s="37"/>
    </row>
    <row r="610" ht="15.75" customHeight="1">
      <c r="BN610" s="37"/>
      <c r="BO610" s="37"/>
    </row>
    <row r="611" ht="15.75" customHeight="1">
      <c r="BN611" s="37"/>
      <c r="BO611" s="37"/>
    </row>
    <row r="612" ht="15.75" customHeight="1">
      <c r="BN612" s="37"/>
      <c r="BO612" s="37"/>
    </row>
    <row r="613" ht="15.75" customHeight="1">
      <c r="BN613" s="37"/>
      <c r="BO613" s="37"/>
    </row>
    <row r="614" ht="15.75" customHeight="1">
      <c r="BN614" s="37"/>
      <c r="BO614" s="37"/>
    </row>
    <row r="615" ht="15.75" customHeight="1">
      <c r="BN615" s="37"/>
      <c r="BO615" s="37"/>
    </row>
    <row r="616" ht="15.75" customHeight="1">
      <c r="BN616" s="37"/>
      <c r="BO616" s="37"/>
    </row>
    <row r="617" ht="15.75" customHeight="1">
      <c r="BN617" s="37"/>
      <c r="BO617" s="37"/>
    </row>
    <row r="618" ht="15.75" customHeight="1">
      <c r="BN618" s="37"/>
      <c r="BO618" s="37"/>
    </row>
    <row r="619" ht="15.75" customHeight="1">
      <c r="BN619" s="37"/>
      <c r="BO619" s="37"/>
    </row>
    <row r="620" ht="15.75" customHeight="1">
      <c r="BN620" s="37"/>
      <c r="BO620" s="37"/>
    </row>
    <row r="621" ht="15.75" customHeight="1">
      <c r="BN621" s="37"/>
      <c r="BO621" s="37"/>
    </row>
    <row r="622" ht="15.75" customHeight="1">
      <c r="BN622" s="37"/>
      <c r="BO622" s="37"/>
    </row>
    <row r="623" ht="15.75" customHeight="1">
      <c r="BN623" s="37"/>
      <c r="BO623" s="37"/>
    </row>
    <row r="624" ht="15.75" customHeight="1">
      <c r="BN624" s="37"/>
      <c r="BO624" s="37"/>
    </row>
    <row r="625" ht="15.75" customHeight="1">
      <c r="BN625" s="37"/>
      <c r="BO625" s="37"/>
    </row>
    <row r="626" ht="15.75" customHeight="1">
      <c r="BN626" s="37"/>
      <c r="BO626" s="37"/>
    </row>
    <row r="627" ht="15.75" customHeight="1">
      <c r="BN627" s="37"/>
      <c r="BO627" s="37"/>
    </row>
    <row r="628" ht="15.75" customHeight="1">
      <c r="BN628" s="37"/>
      <c r="BO628" s="37"/>
    </row>
    <row r="629" ht="15.75" customHeight="1">
      <c r="BN629" s="37"/>
      <c r="BO629" s="37"/>
    </row>
    <row r="630" ht="15.75" customHeight="1">
      <c r="BN630" s="37"/>
      <c r="BO630" s="37"/>
    </row>
    <row r="631" ht="15.75" customHeight="1">
      <c r="BN631" s="37"/>
      <c r="BO631" s="37"/>
    </row>
    <row r="632" ht="15.75" customHeight="1">
      <c r="BN632" s="37"/>
      <c r="BO632" s="37"/>
    </row>
    <row r="633" ht="15.75" customHeight="1">
      <c r="BN633" s="37"/>
      <c r="BO633" s="37"/>
    </row>
    <row r="634" ht="15.75" customHeight="1">
      <c r="BN634" s="37"/>
      <c r="BO634" s="37"/>
    </row>
    <row r="635" ht="15.75" customHeight="1">
      <c r="BN635" s="37"/>
      <c r="BO635" s="37"/>
    </row>
    <row r="636" ht="15.75" customHeight="1">
      <c r="BN636" s="37"/>
      <c r="BO636" s="37"/>
    </row>
    <row r="637" ht="15.75" customHeight="1">
      <c r="BN637" s="37"/>
      <c r="BO637" s="37"/>
    </row>
    <row r="638" ht="15.75" customHeight="1">
      <c r="BN638" s="37"/>
      <c r="BO638" s="37"/>
    </row>
    <row r="639" ht="15.75" customHeight="1">
      <c r="BN639" s="37"/>
      <c r="BO639" s="37"/>
    </row>
    <row r="640" ht="15.75" customHeight="1">
      <c r="BN640" s="37"/>
      <c r="BO640" s="37"/>
    </row>
    <row r="641" ht="15.75" customHeight="1">
      <c r="BN641" s="37"/>
      <c r="BO641" s="37"/>
    </row>
    <row r="642" ht="15.75" customHeight="1">
      <c r="BN642" s="37"/>
      <c r="BO642" s="37"/>
    </row>
    <row r="643" ht="15.75" customHeight="1">
      <c r="BN643" s="37"/>
      <c r="BO643" s="37"/>
    </row>
    <row r="644" ht="15.75" customHeight="1">
      <c r="BN644" s="37"/>
      <c r="BO644" s="37"/>
    </row>
    <row r="645" ht="15.75" customHeight="1">
      <c r="BN645" s="37"/>
      <c r="BO645" s="37"/>
    </row>
    <row r="646" ht="15.75" customHeight="1">
      <c r="BN646" s="37"/>
      <c r="BO646" s="37"/>
    </row>
    <row r="647" ht="15.75" customHeight="1">
      <c r="BN647" s="37"/>
      <c r="BO647" s="37"/>
    </row>
    <row r="648" ht="15.75" customHeight="1">
      <c r="BN648" s="37"/>
      <c r="BO648" s="37"/>
    </row>
    <row r="649" ht="15.75" customHeight="1">
      <c r="BN649" s="37"/>
      <c r="BO649" s="37"/>
    </row>
    <row r="650" ht="15.75" customHeight="1">
      <c r="BN650" s="37"/>
      <c r="BO650" s="37"/>
    </row>
    <row r="651" ht="15.75" customHeight="1">
      <c r="BN651" s="37"/>
      <c r="BO651" s="37"/>
    </row>
    <row r="652" ht="15.75" customHeight="1">
      <c r="BN652" s="37"/>
      <c r="BO652" s="37"/>
    </row>
    <row r="653" ht="15.75" customHeight="1">
      <c r="BN653" s="37"/>
      <c r="BO653" s="37"/>
    </row>
    <row r="654" ht="15.75" customHeight="1">
      <c r="BN654" s="37"/>
      <c r="BO654" s="37"/>
    </row>
    <row r="655" ht="15.75" customHeight="1">
      <c r="BN655" s="37"/>
      <c r="BO655" s="37"/>
    </row>
    <row r="656" ht="15.75" customHeight="1">
      <c r="BN656" s="37"/>
      <c r="BO656" s="37"/>
    </row>
    <row r="657" ht="15.75" customHeight="1">
      <c r="BN657" s="37"/>
      <c r="BO657" s="37"/>
    </row>
    <row r="658" ht="15.75" customHeight="1">
      <c r="BN658" s="37"/>
      <c r="BO658" s="37"/>
    </row>
    <row r="659" ht="15.75" customHeight="1">
      <c r="BN659" s="37"/>
      <c r="BO659" s="37"/>
    </row>
    <row r="660" ht="15.75" customHeight="1">
      <c r="BN660" s="37"/>
      <c r="BO660" s="37"/>
    </row>
    <row r="661" ht="15.75" customHeight="1">
      <c r="BN661" s="37"/>
      <c r="BO661" s="37"/>
    </row>
    <row r="662" ht="15.75" customHeight="1">
      <c r="BN662" s="37"/>
      <c r="BO662" s="37"/>
    </row>
    <row r="663" ht="15.75" customHeight="1">
      <c r="BN663" s="37"/>
      <c r="BO663" s="37"/>
    </row>
    <row r="664" ht="15.75" customHeight="1">
      <c r="BN664" s="37"/>
      <c r="BO664" s="37"/>
    </row>
    <row r="665" ht="15.75" customHeight="1">
      <c r="BN665" s="37"/>
      <c r="BO665" s="37"/>
    </row>
    <row r="666" ht="15.75" customHeight="1">
      <c r="BN666" s="37"/>
      <c r="BO666" s="37"/>
    </row>
    <row r="667" ht="15.75" customHeight="1">
      <c r="BN667" s="37"/>
      <c r="BO667" s="37"/>
    </row>
    <row r="668" ht="15.75" customHeight="1">
      <c r="BN668" s="37"/>
      <c r="BO668" s="37"/>
    </row>
    <row r="669" ht="15.75" customHeight="1">
      <c r="BN669" s="37"/>
      <c r="BO669" s="37"/>
    </row>
    <row r="670" ht="15.75" customHeight="1">
      <c r="BN670" s="37"/>
      <c r="BO670" s="37"/>
    </row>
    <row r="671" ht="15.75" customHeight="1">
      <c r="BN671" s="37"/>
      <c r="BO671" s="37"/>
    </row>
    <row r="672" ht="15.75" customHeight="1">
      <c r="BN672" s="37"/>
      <c r="BO672" s="37"/>
    </row>
    <row r="673" ht="15.75" customHeight="1">
      <c r="BN673" s="37"/>
      <c r="BO673" s="37"/>
    </row>
    <row r="674" ht="15.75" customHeight="1">
      <c r="BN674" s="37"/>
      <c r="BO674" s="37"/>
    </row>
    <row r="675" ht="15.75" customHeight="1">
      <c r="BN675" s="37"/>
      <c r="BO675" s="37"/>
    </row>
    <row r="676" ht="15.75" customHeight="1">
      <c r="BN676" s="37"/>
      <c r="BO676" s="37"/>
    </row>
    <row r="677" ht="15.75" customHeight="1">
      <c r="BN677" s="37"/>
      <c r="BO677" s="37"/>
    </row>
    <row r="678" ht="15.75" customHeight="1">
      <c r="BN678" s="37"/>
      <c r="BO678" s="37"/>
    </row>
    <row r="679" ht="15.75" customHeight="1">
      <c r="BN679" s="37"/>
      <c r="BO679" s="37"/>
    </row>
    <row r="680" ht="15.75" customHeight="1">
      <c r="BN680" s="37"/>
      <c r="BO680" s="37"/>
    </row>
    <row r="681" ht="15.75" customHeight="1">
      <c r="BN681" s="37"/>
      <c r="BO681" s="37"/>
    </row>
    <row r="682" ht="15.75" customHeight="1">
      <c r="BN682" s="37"/>
      <c r="BO682" s="37"/>
    </row>
    <row r="683" ht="15.75" customHeight="1">
      <c r="BN683" s="37"/>
      <c r="BO683" s="37"/>
    </row>
    <row r="684" ht="15.75" customHeight="1">
      <c r="BN684" s="37"/>
      <c r="BO684" s="37"/>
    </row>
    <row r="685" ht="15.75" customHeight="1">
      <c r="BN685" s="37"/>
      <c r="BO685" s="37"/>
    </row>
    <row r="686" ht="15.75" customHeight="1">
      <c r="BN686" s="37"/>
      <c r="BO686" s="37"/>
    </row>
    <row r="687" ht="15.75" customHeight="1">
      <c r="BN687" s="37"/>
      <c r="BO687" s="37"/>
    </row>
    <row r="688" ht="15.75" customHeight="1">
      <c r="BN688" s="37"/>
      <c r="BO688" s="37"/>
    </row>
    <row r="689" ht="15.75" customHeight="1">
      <c r="BN689" s="37"/>
      <c r="BO689" s="37"/>
    </row>
    <row r="690" ht="15.75" customHeight="1">
      <c r="BN690" s="37"/>
      <c r="BO690" s="37"/>
    </row>
    <row r="691" ht="15.75" customHeight="1">
      <c r="BN691" s="37"/>
      <c r="BO691" s="37"/>
    </row>
    <row r="692" ht="15.75" customHeight="1">
      <c r="BN692" s="37"/>
      <c r="BO692" s="37"/>
    </row>
    <row r="693" ht="15.75" customHeight="1">
      <c r="BN693" s="37"/>
      <c r="BO693" s="37"/>
    </row>
    <row r="694" ht="15.75" customHeight="1">
      <c r="BN694" s="37"/>
      <c r="BO694" s="37"/>
    </row>
    <row r="695" ht="15.75" customHeight="1">
      <c r="BN695" s="37"/>
      <c r="BO695" s="37"/>
    </row>
    <row r="696" ht="15.75" customHeight="1">
      <c r="BN696" s="37"/>
      <c r="BO696" s="37"/>
    </row>
    <row r="697" ht="15.75" customHeight="1">
      <c r="BN697" s="37"/>
      <c r="BO697" s="37"/>
    </row>
    <row r="698" ht="15.75" customHeight="1">
      <c r="BN698" s="37"/>
      <c r="BO698" s="37"/>
    </row>
    <row r="699" ht="15.75" customHeight="1">
      <c r="BN699" s="37"/>
      <c r="BO699" s="37"/>
    </row>
    <row r="700" ht="15.75" customHeight="1">
      <c r="BN700" s="37"/>
      <c r="BO700" s="37"/>
    </row>
    <row r="701" ht="15.75" customHeight="1">
      <c r="BN701" s="37"/>
      <c r="BO701" s="37"/>
    </row>
    <row r="702" ht="15.75" customHeight="1">
      <c r="BN702" s="37"/>
      <c r="BO702" s="37"/>
    </row>
    <row r="703" ht="15.75" customHeight="1">
      <c r="BN703" s="37"/>
      <c r="BO703" s="37"/>
    </row>
    <row r="704" ht="15.75" customHeight="1">
      <c r="BN704" s="37"/>
      <c r="BO704" s="37"/>
    </row>
    <row r="705" ht="15.75" customHeight="1">
      <c r="BN705" s="37"/>
      <c r="BO705" s="37"/>
    </row>
    <row r="706" ht="15.75" customHeight="1">
      <c r="BN706" s="37"/>
      <c r="BO706" s="37"/>
    </row>
    <row r="707" ht="15.75" customHeight="1">
      <c r="BN707" s="37"/>
      <c r="BO707" s="37"/>
    </row>
    <row r="708" ht="15.75" customHeight="1">
      <c r="BN708" s="37"/>
      <c r="BO708" s="37"/>
    </row>
    <row r="709" ht="15.75" customHeight="1">
      <c r="BN709" s="37"/>
      <c r="BO709" s="37"/>
    </row>
    <row r="710" ht="15.75" customHeight="1">
      <c r="BN710" s="37"/>
      <c r="BO710" s="37"/>
    </row>
    <row r="711" ht="15.75" customHeight="1">
      <c r="BN711" s="37"/>
      <c r="BO711" s="37"/>
    </row>
    <row r="712" ht="15.75" customHeight="1">
      <c r="BN712" s="37"/>
      <c r="BO712" s="37"/>
    </row>
    <row r="713" ht="15.75" customHeight="1">
      <c r="BN713" s="37"/>
      <c r="BO713" s="37"/>
    </row>
    <row r="714" ht="15.75" customHeight="1">
      <c r="BN714" s="37"/>
      <c r="BO714" s="37"/>
    </row>
    <row r="715" ht="15.75" customHeight="1">
      <c r="BN715" s="37"/>
      <c r="BO715" s="37"/>
    </row>
    <row r="716" ht="15.75" customHeight="1">
      <c r="BN716" s="37"/>
      <c r="BO716" s="37"/>
    </row>
    <row r="717" ht="15.75" customHeight="1">
      <c r="BN717" s="37"/>
      <c r="BO717" s="37"/>
    </row>
    <row r="718" ht="15.75" customHeight="1">
      <c r="BN718" s="37"/>
      <c r="BO718" s="37"/>
    </row>
    <row r="719" ht="15.75" customHeight="1">
      <c r="BN719" s="37"/>
      <c r="BO719" s="37"/>
    </row>
    <row r="720" ht="15.75" customHeight="1">
      <c r="BN720" s="37"/>
      <c r="BO720" s="37"/>
    </row>
    <row r="721" ht="15.75" customHeight="1">
      <c r="BN721" s="37"/>
      <c r="BO721" s="37"/>
    </row>
    <row r="722" ht="15.75" customHeight="1">
      <c r="BN722" s="37"/>
      <c r="BO722" s="37"/>
    </row>
    <row r="723" ht="15.75" customHeight="1">
      <c r="BN723" s="37"/>
      <c r="BO723" s="37"/>
    </row>
    <row r="724" ht="15.75" customHeight="1">
      <c r="BN724" s="37"/>
      <c r="BO724" s="37"/>
    </row>
    <row r="725" ht="15.75" customHeight="1">
      <c r="BN725" s="37"/>
      <c r="BO725" s="37"/>
    </row>
    <row r="726" ht="15.75" customHeight="1">
      <c r="BN726" s="37"/>
      <c r="BO726" s="37"/>
    </row>
    <row r="727" ht="15.75" customHeight="1">
      <c r="BN727" s="37"/>
      <c r="BO727" s="37"/>
    </row>
    <row r="728" ht="15.75" customHeight="1">
      <c r="BN728" s="37"/>
      <c r="BO728" s="37"/>
    </row>
    <row r="729" ht="15.75" customHeight="1">
      <c r="BN729" s="37"/>
      <c r="BO729" s="37"/>
    </row>
    <row r="730" ht="15.75" customHeight="1">
      <c r="BN730" s="37"/>
      <c r="BO730" s="37"/>
    </row>
    <row r="731" ht="15.75" customHeight="1">
      <c r="BN731" s="37"/>
      <c r="BO731" s="37"/>
    </row>
    <row r="732" ht="15.75" customHeight="1">
      <c r="BN732" s="37"/>
      <c r="BO732" s="37"/>
    </row>
    <row r="733" ht="15.75" customHeight="1">
      <c r="BN733" s="37"/>
      <c r="BO733" s="37"/>
    </row>
    <row r="734" ht="15.75" customHeight="1">
      <c r="BN734" s="37"/>
      <c r="BO734" s="37"/>
    </row>
    <row r="735" ht="15.75" customHeight="1">
      <c r="BN735" s="37"/>
      <c r="BO735" s="37"/>
    </row>
    <row r="736" ht="15.75" customHeight="1">
      <c r="BN736" s="37"/>
      <c r="BO736" s="37"/>
    </row>
    <row r="737" ht="15.75" customHeight="1">
      <c r="BN737" s="37"/>
      <c r="BO737" s="37"/>
    </row>
    <row r="738" ht="15.75" customHeight="1">
      <c r="BN738" s="37"/>
      <c r="BO738" s="37"/>
    </row>
    <row r="739" ht="15.75" customHeight="1">
      <c r="BN739" s="37"/>
      <c r="BO739" s="37"/>
    </row>
    <row r="740" ht="15.75" customHeight="1">
      <c r="BN740" s="37"/>
      <c r="BO740" s="37"/>
    </row>
    <row r="741" ht="15.75" customHeight="1">
      <c r="BN741" s="37"/>
      <c r="BO741" s="37"/>
    </row>
    <row r="742" ht="15.75" customHeight="1">
      <c r="BN742" s="37"/>
      <c r="BO742" s="37"/>
    </row>
    <row r="743" ht="15.75" customHeight="1">
      <c r="BN743" s="37"/>
      <c r="BO743" s="37"/>
    </row>
    <row r="744" ht="15.75" customHeight="1">
      <c r="BN744" s="37"/>
      <c r="BO744" s="37"/>
    </row>
    <row r="745" ht="15.75" customHeight="1">
      <c r="BN745" s="37"/>
      <c r="BO745" s="37"/>
    </row>
    <row r="746" ht="15.75" customHeight="1">
      <c r="BN746" s="37"/>
      <c r="BO746" s="37"/>
    </row>
    <row r="747" ht="15.75" customHeight="1">
      <c r="BN747" s="37"/>
      <c r="BO747" s="37"/>
    </row>
    <row r="748" ht="15.75" customHeight="1">
      <c r="BN748" s="37"/>
      <c r="BO748" s="37"/>
    </row>
    <row r="749" ht="15.75" customHeight="1">
      <c r="BN749" s="37"/>
      <c r="BO749" s="37"/>
    </row>
    <row r="750" ht="15.75" customHeight="1">
      <c r="BN750" s="37"/>
      <c r="BO750" s="37"/>
    </row>
    <row r="751" ht="15.75" customHeight="1">
      <c r="BN751" s="37"/>
      <c r="BO751" s="37"/>
    </row>
    <row r="752" ht="15.75" customHeight="1">
      <c r="BN752" s="37"/>
      <c r="BO752" s="37"/>
    </row>
    <row r="753" ht="15.75" customHeight="1">
      <c r="BN753" s="37"/>
      <c r="BO753" s="37"/>
    </row>
    <row r="754" ht="15.75" customHeight="1">
      <c r="BN754" s="37"/>
      <c r="BO754" s="37"/>
    </row>
    <row r="755" ht="15.75" customHeight="1">
      <c r="BN755" s="37"/>
      <c r="BO755" s="37"/>
    </row>
    <row r="756" ht="15.75" customHeight="1">
      <c r="BN756" s="37"/>
      <c r="BO756" s="37"/>
    </row>
    <row r="757" ht="15.75" customHeight="1">
      <c r="BN757" s="37"/>
      <c r="BO757" s="37"/>
    </row>
    <row r="758" ht="15.75" customHeight="1">
      <c r="BN758" s="37"/>
      <c r="BO758" s="37"/>
    </row>
    <row r="759" ht="15.75" customHeight="1">
      <c r="BN759" s="37"/>
      <c r="BO759" s="37"/>
    </row>
    <row r="760" ht="15.75" customHeight="1">
      <c r="BN760" s="37"/>
      <c r="BO760" s="37"/>
    </row>
    <row r="761" ht="15.75" customHeight="1">
      <c r="BN761" s="37"/>
      <c r="BO761" s="37"/>
    </row>
    <row r="762" ht="15.75" customHeight="1">
      <c r="BN762" s="37"/>
      <c r="BO762" s="37"/>
    </row>
    <row r="763" ht="15.75" customHeight="1">
      <c r="BN763" s="37"/>
      <c r="BO763" s="37"/>
    </row>
    <row r="764" ht="15.75" customHeight="1">
      <c r="BN764" s="37"/>
      <c r="BO764" s="37"/>
    </row>
    <row r="765" ht="15.75" customHeight="1">
      <c r="BN765" s="37"/>
      <c r="BO765" s="37"/>
    </row>
    <row r="766" ht="15.75" customHeight="1">
      <c r="BN766" s="37"/>
      <c r="BO766" s="37"/>
    </row>
    <row r="767" ht="15.75" customHeight="1">
      <c r="BN767" s="37"/>
      <c r="BO767" s="37"/>
    </row>
    <row r="768" ht="15.75" customHeight="1">
      <c r="BN768" s="37"/>
      <c r="BO768" s="37"/>
    </row>
    <row r="769" ht="15.75" customHeight="1">
      <c r="BN769" s="37"/>
      <c r="BO769" s="37"/>
    </row>
    <row r="770" ht="15.75" customHeight="1">
      <c r="BN770" s="37"/>
      <c r="BO770" s="37"/>
    </row>
    <row r="771" ht="15.75" customHeight="1">
      <c r="BN771" s="37"/>
      <c r="BO771" s="37"/>
    </row>
    <row r="772" ht="15.75" customHeight="1">
      <c r="BN772" s="37"/>
      <c r="BO772" s="37"/>
    </row>
    <row r="773" ht="15.75" customHeight="1">
      <c r="BN773" s="37"/>
      <c r="BO773" s="37"/>
    </row>
    <row r="774" ht="15.75" customHeight="1">
      <c r="BN774" s="37"/>
      <c r="BO774" s="37"/>
    </row>
    <row r="775" ht="15.75" customHeight="1">
      <c r="BN775" s="37"/>
      <c r="BO775" s="37"/>
    </row>
    <row r="776" ht="15.75" customHeight="1">
      <c r="BN776" s="37"/>
      <c r="BO776" s="37"/>
    </row>
    <row r="777" ht="15.75" customHeight="1">
      <c r="BN777" s="37"/>
      <c r="BO777" s="37"/>
    </row>
    <row r="778" ht="15.75" customHeight="1">
      <c r="BN778" s="37"/>
      <c r="BO778" s="37"/>
    </row>
    <row r="779" ht="15.75" customHeight="1">
      <c r="BN779" s="37"/>
      <c r="BO779" s="37"/>
    </row>
    <row r="780" ht="15.75" customHeight="1">
      <c r="BN780" s="37"/>
      <c r="BO780" s="37"/>
    </row>
    <row r="781" ht="15.75" customHeight="1">
      <c r="BN781" s="37"/>
      <c r="BO781" s="37"/>
    </row>
    <row r="782" ht="15.75" customHeight="1">
      <c r="BN782" s="37"/>
      <c r="BO782" s="37"/>
    </row>
    <row r="783" ht="15.75" customHeight="1">
      <c r="BN783" s="37"/>
      <c r="BO783" s="37"/>
    </row>
    <row r="784" ht="15.75" customHeight="1">
      <c r="BN784" s="37"/>
      <c r="BO784" s="37"/>
    </row>
    <row r="785" ht="15.75" customHeight="1">
      <c r="BN785" s="37"/>
      <c r="BO785" s="37"/>
    </row>
    <row r="786" ht="15.75" customHeight="1">
      <c r="BN786" s="37"/>
      <c r="BO786" s="37"/>
    </row>
    <row r="787" ht="15.75" customHeight="1">
      <c r="BN787" s="37"/>
      <c r="BO787" s="37"/>
    </row>
    <row r="788" ht="15.75" customHeight="1">
      <c r="BN788" s="37"/>
      <c r="BO788" s="37"/>
    </row>
    <row r="789" ht="15.75" customHeight="1">
      <c r="BN789" s="37"/>
      <c r="BO789" s="37"/>
    </row>
    <row r="790" ht="15.75" customHeight="1">
      <c r="BN790" s="37"/>
      <c r="BO790" s="37"/>
    </row>
    <row r="791" ht="15.75" customHeight="1">
      <c r="BN791" s="37"/>
      <c r="BO791" s="37"/>
    </row>
    <row r="792" ht="15.75" customHeight="1">
      <c r="BN792" s="37"/>
      <c r="BO792" s="37"/>
    </row>
    <row r="793" ht="15.75" customHeight="1">
      <c r="BN793" s="37"/>
      <c r="BO793" s="37"/>
    </row>
    <row r="794" ht="15.75" customHeight="1">
      <c r="BN794" s="37"/>
      <c r="BO794" s="37"/>
    </row>
    <row r="795" ht="15.75" customHeight="1">
      <c r="BN795" s="37"/>
      <c r="BO795" s="37"/>
    </row>
    <row r="796" ht="15.75" customHeight="1">
      <c r="BN796" s="37"/>
      <c r="BO796" s="37"/>
    </row>
    <row r="797" ht="15.75" customHeight="1">
      <c r="BN797" s="37"/>
      <c r="BO797" s="37"/>
    </row>
    <row r="798" ht="15.75" customHeight="1">
      <c r="BN798" s="37"/>
      <c r="BO798" s="37"/>
    </row>
    <row r="799" ht="15.75" customHeight="1">
      <c r="BN799" s="37"/>
      <c r="BO799" s="37"/>
    </row>
    <row r="800" ht="15.75" customHeight="1">
      <c r="BN800" s="37"/>
      <c r="BO800" s="37"/>
    </row>
    <row r="801" ht="15.75" customHeight="1">
      <c r="BN801" s="37"/>
      <c r="BO801" s="37"/>
    </row>
    <row r="802" ht="15.75" customHeight="1">
      <c r="BN802" s="37"/>
      <c r="BO802" s="37"/>
    </row>
    <row r="803" ht="15.75" customHeight="1">
      <c r="BN803" s="37"/>
      <c r="BO803" s="37"/>
    </row>
    <row r="804" ht="15.75" customHeight="1">
      <c r="BN804" s="37"/>
      <c r="BO804" s="37"/>
    </row>
    <row r="805" ht="15.75" customHeight="1">
      <c r="BN805" s="37"/>
      <c r="BO805" s="37"/>
    </row>
    <row r="806" ht="15.75" customHeight="1">
      <c r="BN806" s="37"/>
      <c r="BO806" s="37"/>
    </row>
    <row r="807" ht="15.75" customHeight="1">
      <c r="BN807" s="37"/>
      <c r="BO807" s="37"/>
    </row>
    <row r="808" ht="15.75" customHeight="1">
      <c r="BN808" s="37"/>
      <c r="BO808" s="37"/>
    </row>
    <row r="809" ht="15.75" customHeight="1">
      <c r="BN809" s="37"/>
      <c r="BO809" s="37"/>
    </row>
    <row r="810" ht="15.75" customHeight="1">
      <c r="BN810" s="37"/>
      <c r="BO810" s="37"/>
    </row>
    <row r="811" ht="15.75" customHeight="1">
      <c r="BN811" s="37"/>
      <c r="BO811" s="37"/>
    </row>
    <row r="812" ht="15.75" customHeight="1">
      <c r="BN812" s="37"/>
      <c r="BO812" s="37"/>
    </row>
    <row r="813" ht="15.75" customHeight="1">
      <c r="BN813" s="37"/>
      <c r="BO813" s="37"/>
    </row>
    <row r="814" ht="15.75" customHeight="1">
      <c r="BN814" s="37"/>
      <c r="BO814" s="37"/>
    </row>
    <row r="815" ht="15.75" customHeight="1">
      <c r="BN815" s="37"/>
      <c r="BO815" s="37"/>
    </row>
    <row r="816" ht="15.75" customHeight="1">
      <c r="BN816" s="37"/>
      <c r="BO816" s="37"/>
    </row>
    <row r="817" ht="15.75" customHeight="1">
      <c r="BN817" s="37"/>
      <c r="BO817" s="37"/>
    </row>
    <row r="818" ht="15.75" customHeight="1">
      <c r="BN818" s="37"/>
      <c r="BO818" s="37"/>
    </row>
    <row r="819" ht="15.75" customHeight="1">
      <c r="BN819" s="37"/>
      <c r="BO819" s="37"/>
    </row>
    <row r="820" ht="15.75" customHeight="1">
      <c r="BN820" s="37"/>
      <c r="BO820" s="37"/>
    </row>
    <row r="821" ht="15.75" customHeight="1">
      <c r="BN821" s="37"/>
      <c r="BO821" s="37"/>
    </row>
    <row r="822" ht="15.75" customHeight="1">
      <c r="BN822" s="37"/>
      <c r="BO822" s="37"/>
    </row>
    <row r="823" ht="15.75" customHeight="1">
      <c r="BN823" s="37"/>
      <c r="BO823" s="37"/>
    </row>
    <row r="824" ht="15.75" customHeight="1">
      <c r="BN824" s="37"/>
      <c r="BO824" s="37"/>
    </row>
    <row r="825" ht="15.75" customHeight="1">
      <c r="BN825" s="37"/>
      <c r="BO825" s="37"/>
    </row>
    <row r="826" ht="15.75" customHeight="1">
      <c r="BN826" s="37"/>
      <c r="BO826" s="37"/>
    </row>
    <row r="827" ht="15.75" customHeight="1">
      <c r="BN827" s="37"/>
      <c r="BO827" s="37"/>
    </row>
    <row r="828" ht="15.75" customHeight="1">
      <c r="BN828" s="37"/>
      <c r="BO828" s="37"/>
    </row>
    <row r="829" ht="15.75" customHeight="1">
      <c r="BN829" s="37"/>
      <c r="BO829" s="37"/>
    </row>
    <row r="830" ht="15.75" customHeight="1">
      <c r="BN830" s="37"/>
      <c r="BO830" s="37"/>
    </row>
    <row r="831" ht="15.75" customHeight="1">
      <c r="BN831" s="37"/>
      <c r="BO831" s="37"/>
    </row>
    <row r="832" ht="15.75" customHeight="1">
      <c r="BN832" s="37"/>
      <c r="BO832" s="37"/>
    </row>
    <row r="833" ht="15.75" customHeight="1">
      <c r="BN833" s="37"/>
      <c r="BO833" s="37"/>
    </row>
    <row r="834" ht="15.75" customHeight="1">
      <c r="BN834" s="37"/>
      <c r="BO834" s="37"/>
    </row>
    <row r="835" ht="15.75" customHeight="1">
      <c r="BN835" s="37"/>
      <c r="BO835" s="37"/>
    </row>
    <row r="836" ht="15.75" customHeight="1">
      <c r="BN836" s="37"/>
      <c r="BO836" s="37"/>
    </row>
    <row r="837" ht="15.75" customHeight="1">
      <c r="BN837" s="37"/>
      <c r="BO837" s="37"/>
    </row>
    <row r="838" ht="15.75" customHeight="1">
      <c r="BN838" s="37"/>
      <c r="BO838" s="37"/>
    </row>
    <row r="839" ht="15.75" customHeight="1">
      <c r="BN839" s="37"/>
      <c r="BO839" s="37"/>
    </row>
    <row r="840" ht="15.75" customHeight="1">
      <c r="BN840" s="37"/>
      <c r="BO840" s="37"/>
    </row>
    <row r="841" ht="15.75" customHeight="1">
      <c r="BN841" s="37"/>
      <c r="BO841" s="37"/>
    </row>
    <row r="842" ht="15.75" customHeight="1">
      <c r="BN842" s="37"/>
      <c r="BO842" s="37"/>
    </row>
    <row r="843" ht="15.75" customHeight="1">
      <c r="BN843" s="37"/>
      <c r="BO843" s="37"/>
    </row>
    <row r="844" ht="15.75" customHeight="1">
      <c r="BN844" s="37"/>
      <c r="BO844" s="37"/>
    </row>
    <row r="845" ht="15.75" customHeight="1">
      <c r="BN845" s="37"/>
      <c r="BO845" s="37"/>
    </row>
    <row r="846" ht="15.75" customHeight="1">
      <c r="BN846" s="37"/>
      <c r="BO846" s="37"/>
    </row>
    <row r="847" ht="15.75" customHeight="1">
      <c r="BN847" s="37"/>
      <c r="BO847" s="37"/>
    </row>
    <row r="848" ht="15.75" customHeight="1">
      <c r="BN848" s="37"/>
      <c r="BO848" s="37"/>
    </row>
    <row r="849" ht="15.75" customHeight="1">
      <c r="BN849" s="37"/>
      <c r="BO849" s="37"/>
    </row>
    <row r="850" ht="15.75" customHeight="1">
      <c r="BN850" s="37"/>
      <c r="BO850" s="37"/>
    </row>
    <row r="851" ht="15.75" customHeight="1">
      <c r="BN851" s="37"/>
      <c r="BO851" s="37"/>
    </row>
    <row r="852" ht="15.75" customHeight="1">
      <c r="BN852" s="37"/>
      <c r="BO852" s="37"/>
    </row>
    <row r="853" ht="15.75" customHeight="1">
      <c r="BN853" s="37"/>
      <c r="BO853" s="37"/>
    </row>
    <row r="854" ht="15.75" customHeight="1">
      <c r="BN854" s="37"/>
      <c r="BO854" s="37"/>
    </row>
    <row r="855" ht="15.75" customHeight="1">
      <c r="BN855" s="37"/>
      <c r="BO855" s="37"/>
    </row>
    <row r="856" ht="15.75" customHeight="1">
      <c r="BN856" s="37"/>
      <c r="BO856" s="37"/>
    </row>
    <row r="857" ht="15.75" customHeight="1">
      <c r="BN857" s="37"/>
      <c r="BO857" s="37"/>
    </row>
    <row r="858" ht="15.75" customHeight="1">
      <c r="BN858" s="37"/>
      <c r="BO858" s="37"/>
    </row>
    <row r="859" ht="15.75" customHeight="1">
      <c r="BN859" s="37"/>
      <c r="BO859" s="37"/>
    </row>
    <row r="860" ht="15.75" customHeight="1">
      <c r="BN860" s="37"/>
      <c r="BO860" s="37"/>
    </row>
    <row r="861" ht="15.75" customHeight="1">
      <c r="BN861" s="37"/>
      <c r="BO861" s="37"/>
    </row>
    <row r="862" ht="15.75" customHeight="1">
      <c r="BN862" s="37"/>
      <c r="BO862" s="37"/>
    </row>
    <row r="863" ht="15.75" customHeight="1">
      <c r="BN863" s="37"/>
      <c r="BO863" s="37"/>
    </row>
    <row r="864" ht="15.75" customHeight="1">
      <c r="BN864" s="37"/>
      <c r="BO864" s="37"/>
    </row>
    <row r="865" ht="15.75" customHeight="1">
      <c r="BN865" s="37"/>
      <c r="BO865" s="37"/>
    </row>
    <row r="866" ht="15.75" customHeight="1">
      <c r="BN866" s="37"/>
      <c r="BO866" s="37"/>
    </row>
    <row r="867" ht="15.75" customHeight="1">
      <c r="BN867" s="37"/>
      <c r="BO867" s="37"/>
    </row>
    <row r="868" ht="15.75" customHeight="1">
      <c r="BN868" s="37"/>
      <c r="BO868" s="37"/>
    </row>
    <row r="869" ht="15.75" customHeight="1">
      <c r="BN869" s="37"/>
      <c r="BO869" s="37"/>
    </row>
    <row r="870" ht="15.75" customHeight="1">
      <c r="BN870" s="37"/>
      <c r="BO870" s="37"/>
    </row>
    <row r="871" ht="15.75" customHeight="1">
      <c r="BN871" s="37"/>
      <c r="BO871" s="37"/>
    </row>
    <row r="872" ht="15.75" customHeight="1">
      <c r="BN872" s="37"/>
      <c r="BO872" s="37"/>
    </row>
    <row r="873" ht="15.75" customHeight="1">
      <c r="BN873" s="37"/>
      <c r="BO873" s="37"/>
    </row>
    <row r="874" ht="15.75" customHeight="1">
      <c r="BN874" s="37"/>
      <c r="BO874" s="37"/>
    </row>
    <row r="875" ht="15.75" customHeight="1">
      <c r="BN875" s="37"/>
      <c r="BO875" s="37"/>
    </row>
    <row r="876" ht="15.75" customHeight="1">
      <c r="BN876" s="37"/>
      <c r="BO876" s="37"/>
    </row>
    <row r="877" ht="15.75" customHeight="1">
      <c r="BN877" s="37"/>
      <c r="BO877" s="37"/>
    </row>
    <row r="878" ht="15.75" customHeight="1">
      <c r="BN878" s="37"/>
      <c r="BO878" s="37"/>
    </row>
    <row r="879" ht="15.75" customHeight="1">
      <c r="BN879" s="37"/>
      <c r="BO879" s="37"/>
    </row>
    <row r="880" ht="15.75" customHeight="1">
      <c r="BN880" s="37"/>
      <c r="BO880" s="37"/>
    </row>
    <row r="881" ht="15.75" customHeight="1">
      <c r="BN881" s="37"/>
      <c r="BO881" s="37"/>
    </row>
    <row r="882" ht="15.75" customHeight="1">
      <c r="BN882" s="37"/>
      <c r="BO882" s="37"/>
    </row>
    <row r="883" ht="15.75" customHeight="1">
      <c r="BN883" s="37"/>
      <c r="BO883" s="37"/>
    </row>
    <row r="884" ht="15.75" customHeight="1">
      <c r="BN884" s="37"/>
      <c r="BO884" s="37"/>
    </row>
    <row r="885" ht="15.75" customHeight="1">
      <c r="BN885" s="37"/>
      <c r="BO885" s="37"/>
    </row>
    <row r="886" ht="15.75" customHeight="1">
      <c r="BN886" s="37"/>
      <c r="BO886" s="37"/>
    </row>
    <row r="887" ht="15.75" customHeight="1">
      <c r="BN887" s="37"/>
      <c r="BO887" s="37"/>
    </row>
    <row r="888" ht="15.75" customHeight="1">
      <c r="BN888" s="37"/>
      <c r="BO888" s="37"/>
    </row>
    <row r="889" ht="15.75" customHeight="1">
      <c r="BN889" s="37"/>
      <c r="BO889" s="37"/>
    </row>
    <row r="890" ht="15.75" customHeight="1">
      <c r="BN890" s="37"/>
      <c r="BO890" s="37"/>
    </row>
    <row r="891" ht="15.75" customHeight="1">
      <c r="BN891" s="37"/>
      <c r="BO891" s="37"/>
    </row>
    <row r="892" ht="15.75" customHeight="1">
      <c r="BN892" s="37"/>
      <c r="BO892" s="37"/>
    </row>
    <row r="893" ht="15.75" customHeight="1">
      <c r="BN893" s="37"/>
      <c r="BO893" s="37"/>
    </row>
    <row r="894" ht="15.75" customHeight="1">
      <c r="BN894" s="37"/>
      <c r="BO894" s="37"/>
    </row>
    <row r="895" ht="15.75" customHeight="1">
      <c r="BN895" s="37"/>
      <c r="BO895" s="37"/>
    </row>
    <row r="896" ht="15.75" customHeight="1">
      <c r="BN896" s="37"/>
      <c r="BO896" s="37"/>
    </row>
    <row r="897" ht="15.75" customHeight="1">
      <c r="BN897" s="37"/>
      <c r="BO897" s="37"/>
    </row>
    <row r="898" ht="15.75" customHeight="1">
      <c r="BN898" s="37"/>
      <c r="BO898" s="37"/>
    </row>
    <row r="899" ht="15.75" customHeight="1">
      <c r="BN899" s="37"/>
      <c r="BO899" s="37"/>
    </row>
    <row r="900" ht="15.75" customHeight="1">
      <c r="BN900" s="37"/>
      <c r="BO900" s="37"/>
    </row>
    <row r="901" ht="15.75" customHeight="1">
      <c r="BN901" s="37"/>
      <c r="BO901" s="37"/>
    </row>
    <row r="902" ht="15.75" customHeight="1">
      <c r="BN902" s="37"/>
      <c r="BO902" s="37"/>
    </row>
    <row r="903" ht="15.75" customHeight="1">
      <c r="BN903" s="37"/>
      <c r="BO903" s="37"/>
    </row>
    <row r="904" ht="15.75" customHeight="1">
      <c r="BN904" s="37"/>
      <c r="BO904" s="37"/>
    </row>
    <row r="905" ht="15.75" customHeight="1">
      <c r="BN905" s="37"/>
      <c r="BO905" s="37"/>
    </row>
    <row r="906" ht="15.75" customHeight="1">
      <c r="BN906" s="37"/>
      <c r="BO906" s="37"/>
    </row>
    <row r="907" ht="15.75" customHeight="1">
      <c r="BN907" s="37"/>
      <c r="BO907" s="37"/>
    </row>
    <row r="908" ht="15.75" customHeight="1">
      <c r="BN908" s="37"/>
      <c r="BO908" s="37"/>
    </row>
    <row r="909" ht="15.75" customHeight="1">
      <c r="BN909" s="37"/>
      <c r="BO909" s="37"/>
    </row>
    <row r="910" ht="15.75" customHeight="1">
      <c r="BN910" s="37"/>
      <c r="BO910" s="37"/>
    </row>
    <row r="911" ht="15.75" customHeight="1">
      <c r="BN911" s="37"/>
      <c r="BO911" s="37"/>
    </row>
    <row r="912" ht="15.75" customHeight="1">
      <c r="BN912" s="37"/>
      <c r="BO912" s="37"/>
    </row>
    <row r="913" ht="15.75" customHeight="1">
      <c r="BN913" s="37"/>
      <c r="BO913" s="37"/>
    </row>
    <row r="914" ht="15.75" customHeight="1">
      <c r="BN914" s="37"/>
      <c r="BO914" s="37"/>
    </row>
    <row r="915" ht="15.75" customHeight="1">
      <c r="BN915" s="37"/>
      <c r="BO915" s="37"/>
    </row>
    <row r="916" ht="15.75" customHeight="1">
      <c r="BN916" s="37"/>
      <c r="BO916" s="37"/>
    </row>
    <row r="917" ht="15.75" customHeight="1">
      <c r="BN917" s="37"/>
      <c r="BO917" s="37"/>
    </row>
    <row r="918" ht="15.75" customHeight="1">
      <c r="BN918" s="37"/>
      <c r="BO918" s="37"/>
    </row>
    <row r="919" ht="15.75" customHeight="1">
      <c r="BN919" s="37"/>
      <c r="BO919" s="37"/>
    </row>
    <row r="920" ht="15.75" customHeight="1">
      <c r="BN920" s="37"/>
      <c r="BO920" s="37"/>
    </row>
    <row r="921" ht="15.75" customHeight="1">
      <c r="BN921" s="37"/>
      <c r="BO921" s="37"/>
    </row>
    <row r="922" ht="15.75" customHeight="1">
      <c r="BN922" s="37"/>
      <c r="BO922" s="37"/>
    </row>
    <row r="923" ht="15.75" customHeight="1">
      <c r="BN923" s="37"/>
      <c r="BO923" s="37"/>
    </row>
    <row r="924" ht="15.75" customHeight="1">
      <c r="BN924" s="37"/>
      <c r="BO924" s="37"/>
    </row>
    <row r="925" ht="15.75" customHeight="1">
      <c r="BN925" s="37"/>
      <c r="BO925" s="37"/>
    </row>
    <row r="926" ht="15.75" customHeight="1">
      <c r="BN926" s="37"/>
      <c r="BO926" s="37"/>
    </row>
    <row r="927" ht="15.75" customHeight="1">
      <c r="BN927" s="37"/>
      <c r="BO927" s="37"/>
    </row>
    <row r="928" ht="15.75" customHeight="1">
      <c r="BN928" s="37"/>
      <c r="BO928" s="37"/>
    </row>
    <row r="929" ht="15.75" customHeight="1">
      <c r="BN929" s="37"/>
      <c r="BO929" s="37"/>
    </row>
    <row r="930" ht="15.75" customHeight="1">
      <c r="BN930" s="37"/>
      <c r="BO930" s="37"/>
    </row>
    <row r="931" ht="15.75" customHeight="1">
      <c r="BN931" s="37"/>
      <c r="BO931" s="37"/>
    </row>
    <row r="932" ht="15.75" customHeight="1">
      <c r="BN932" s="37"/>
      <c r="BO932" s="37"/>
    </row>
    <row r="933" ht="15.75" customHeight="1">
      <c r="BN933" s="37"/>
      <c r="BO933" s="37"/>
    </row>
    <row r="934" ht="15.75" customHeight="1">
      <c r="BN934" s="37"/>
      <c r="BO934" s="37"/>
    </row>
    <row r="935" ht="15.75" customHeight="1">
      <c r="BN935" s="37"/>
      <c r="BO935" s="37"/>
    </row>
    <row r="936" ht="15.75" customHeight="1">
      <c r="BN936" s="37"/>
      <c r="BO936" s="37"/>
    </row>
    <row r="937" ht="15.75" customHeight="1">
      <c r="BN937" s="37"/>
      <c r="BO937" s="37"/>
    </row>
    <row r="938" ht="15.75" customHeight="1">
      <c r="BN938" s="37"/>
      <c r="BO938" s="37"/>
    </row>
    <row r="939" ht="15.75" customHeight="1">
      <c r="BN939" s="37"/>
      <c r="BO939" s="37"/>
    </row>
    <row r="940" ht="15.75" customHeight="1">
      <c r="BN940" s="37"/>
      <c r="BO940" s="37"/>
    </row>
    <row r="941" ht="15.75" customHeight="1">
      <c r="BN941" s="37"/>
      <c r="BO941" s="37"/>
    </row>
    <row r="942" ht="15.75" customHeight="1">
      <c r="BN942" s="37"/>
      <c r="BO942" s="37"/>
    </row>
    <row r="943" ht="15.75" customHeight="1">
      <c r="BN943" s="37"/>
      <c r="BO943" s="37"/>
    </row>
    <row r="944" ht="15.75" customHeight="1">
      <c r="BN944" s="37"/>
      <c r="BO944" s="37"/>
    </row>
    <row r="945" ht="15.75" customHeight="1">
      <c r="BN945" s="37"/>
      <c r="BO945" s="37"/>
    </row>
    <row r="946" ht="15.75" customHeight="1">
      <c r="BN946" s="37"/>
      <c r="BO946" s="37"/>
    </row>
    <row r="947" ht="15.75" customHeight="1">
      <c r="BN947" s="37"/>
      <c r="BO947" s="37"/>
    </row>
    <row r="948" ht="15.75" customHeight="1">
      <c r="BN948" s="37"/>
      <c r="BO948" s="37"/>
    </row>
    <row r="949" ht="15.75" customHeight="1">
      <c r="BN949" s="37"/>
      <c r="BO949" s="37"/>
    </row>
    <row r="950" ht="15.75" customHeight="1">
      <c r="BN950" s="37"/>
      <c r="BO950" s="37"/>
    </row>
    <row r="951" ht="15.75" customHeight="1">
      <c r="BN951" s="37"/>
      <c r="BO951" s="37"/>
    </row>
    <row r="952" ht="15.75" customHeight="1">
      <c r="BN952" s="37"/>
      <c r="BO952" s="37"/>
    </row>
    <row r="953" ht="15.75" customHeight="1">
      <c r="BN953" s="37"/>
      <c r="BO953" s="37"/>
    </row>
    <row r="954" ht="15.75" customHeight="1">
      <c r="BN954" s="37"/>
      <c r="BO954" s="37"/>
    </row>
    <row r="955" ht="15.75" customHeight="1">
      <c r="BN955" s="37"/>
      <c r="BO955" s="37"/>
    </row>
    <row r="956" ht="15.75" customHeight="1">
      <c r="BN956" s="37"/>
      <c r="BO956" s="37"/>
    </row>
    <row r="957" ht="15.75" customHeight="1">
      <c r="BN957" s="37"/>
      <c r="BO957" s="37"/>
    </row>
    <row r="958" ht="15.75" customHeight="1">
      <c r="BN958" s="37"/>
      <c r="BO958" s="37"/>
    </row>
    <row r="959" ht="15.75" customHeight="1">
      <c r="BN959" s="37"/>
      <c r="BO959" s="37"/>
    </row>
    <row r="960" ht="15.75" customHeight="1">
      <c r="BN960" s="37"/>
      <c r="BO960" s="37"/>
    </row>
    <row r="961" ht="15.75" customHeight="1">
      <c r="BN961" s="37"/>
      <c r="BO961" s="37"/>
    </row>
    <row r="962" ht="15.75" customHeight="1">
      <c r="BN962" s="37"/>
      <c r="BO962" s="37"/>
    </row>
    <row r="963" ht="15.75" customHeight="1">
      <c r="BN963" s="37"/>
      <c r="BO963" s="37"/>
    </row>
    <row r="964" ht="15.75" customHeight="1">
      <c r="BN964" s="37"/>
      <c r="BO964" s="37"/>
    </row>
    <row r="965" ht="15.75" customHeight="1">
      <c r="BN965" s="37"/>
      <c r="BO965" s="37"/>
    </row>
    <row r="966" ht="15.75" customHeight="1">
      <c r="BN966" s="37"/>
      <c r="BO966" s="37"/>
    </row>
    <row r="967" ht="15.75" customHeight="1">
      <c r="BN967" s="37"/>
      <c r="BO967" s="37"/>
    </row>
    <row r="968" ht="15.75" customHeight="1">
      <c r="BN968" s="37"/>
      <c r="BO968" s="37"/>
    </row>
    <row r="969" ht="15.75" customHeight="1">
      <c r="BN969" s="37"/>
      <c r="BO969" s="37"/>
    </row>
    <row r="970" ht="15.75" customHeight="1">
      <c r="BN970" s="37"/>
      <c r="BO970" s="37"/>
    </row>
    <row r="971" ht="15.75" customHeight="1">
      <c r="BN971" s="37"/>
      <c r="BO971" s="37"/>
    </row>
    <row r="972" ht="15.75" customHeight="1">
      <c r="BN972" s="37"/>
      <c r="BO972" s="37"/>
    </row>
    <row r="973" ht="15.75" customHeight="1">
      <c r="BN973" s="37"/>
      <c r="BO973" s="37"/>
    </row>
    <row r="974" ht="15.75" customHeight="1">
      <c r="BN974" s="37"/>
      <c r="BO974" s="37"/>
    </row>
    <row r="975" ht="15.75" customHeight="1">
      <c r="BN975" s="37"/>
      <c r="BO975" s="37"/>
    </row>
    <row r="976" ht="15.75" customHeight="1">
      <c r="BN976" s="37"/>
      <c r="BO976" s="37"/>
    </row>
    <row r="977" ht="15.75" customHeight="1">
      <c r="BN977" s="37"/>
      <c r="BO977" s="37"/>
    </row>
    <row r="978" ht="15.75" customHeight="1">
      <c r="BN978" s="37"/>
      <c r="BO978" s="37"/>
    </row>
    <row r="979" ht="15.75" customHeight="1">
      <c r="BN979" s="37"/>
      <c r="BO979" s="37"/>
    </row>
    <row r="980" ht="15.75" customHeight="1">
      <c r="BN980" s="37"/>
      <c r="BO980" s="37"/>
    </row>
    <row r="981" ht="15.75" customHeight="1">
      <c r="BN981" s="37"/>
      <c r="BO981" s="37"/>
    </row>
    <row r="982" ht="15.75" customHeight="1">
      <c r="BN982" s="37"/>
      <c r="BO982" s="37"/>
    </row>
    <row r="983" ht="15.75" customHeight="1">
      <c r="BN983" s="37"/>
      <c r="BO983" s="37"/>
    </row>
    <row r="984" ht="15.75" customHeight="1">
      <c r="BN984" s="37"/>
      <c r="BO984" s="37"/>
    </row>
    <row r="985" ht="15.75" customHeight="1">
      <c r="BN985" s="37"/>
      <c r="BO985" s="37"/>
    </row>
    <row r="986" ht="15.75" customHeight="1">
      <c r="BN986" s="37"/>
      <c r="BO986" s="37"/>
    </row>
    <row r="987" ht="15.75" customHeight="1">
      <c r="BN987" s="37"/>
      <c r="BO987" s="37"/>
    </row>
    <row r="988" ht="15.75" customHeight="1">
      <c r="BN988" s="37"/>
      <c r="BO988" s="37"/>
    </row>
    <row r="989" ht="15.75" customHeight="1">
      <c r="BN989" s="37"/>
      <c r="BO989" s="37"/>
    </row>
    <row r="990" ht="15.75" customHeight="1">
      <c r="BN990" s="37"/>
      <c r="BO990" s="37"/>
    </row>
    <row r="991" ht="15.75" customHeight="1">
      <c r="BN991" s="37"/>
      <c r="BO991" s="37"/>
    </row>
    <row r="992" ht="15.75" customHeight="1">
      <c r="BN992" s="37"/>
      <c r="BO992" s="37"/>
    </row>
    <row r="993" ht="15.75" customHeight="1">
      <c r="BN993" s="37"/>
      <c r="BO993" s="37"/>
    </row>
    <row r="994" ht="15.75" customHeight="1">
      <c r="BN994" s="37"/>
      <c r="BO994" s="37"/>
    </row>
    <row r="995" ht="15.75" customHeight="1">
      <c r="BN995" s="37"/>
      <c r="BO995" s="37"/>
    </row>
    <row r="996" ht="15.75" customHeight="1">
      <c r="BN996" s="37"/>
      <c r="BO996" s="37"/>
    </row>
    <row r="997" ht="15.75" customHeight="1">
      <c r="BN997" s="37"/>
      <c r="BO997" s="37"/>
    </row>
    <row r="998" ht="15.75" customHeight="1">
      <c r="BN998" s="37"/>
      <c r="BO998" s="37"/>
    </row>
    <row r="999" ht="15.75" customHeight="1">
      <c r="BN999" s="37"/>
      <c r="BO999" s="37"/>
    </row>
    <row r="1000" ht="15.75" customHeight="1">
      <c r="BN1000" s="37"/>
      <c r="BO1000" s="3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6" width="8.71"/>
  </cols>
  <sheetData>
    <row r="1" ht="15.75" customHeight="1">
      <c r="A1" s="3" t="s">
        <v>150</v>
      </c>
      <c r="B1" s="2" t="s">
        <v>311</v>
      </c>
      <c r="C1" s="2" t="s">
        <v>312</v>
      </c>
      <c r="D1" s="4" t="s">
        <v>313</v>
      </c>
      <c r="E1" s="4" t="s">
        <v>314</v>
      </c>
      <c r="F1" s="4" t="s">
        <v>315</v>
      </c>
    </row>
    <row r="2" ht="15.75" customHeight="1">
      <c r="A2" s="61">
        <v>46104.0</v>
      </c>
      <c r="E2" s="4">
        <v>4407.3</v>
      </c>
    </row>
    <row r="3" ht="15.75" customHeight="1">
      <c r="A3" s="61">
        <v>46105.0</v>
      </c>
      <c r="E3" s="4">
        <v>4584.0</v>
      </c>
    </row>
    <row r="4" ht="15.75" customHeight="1">
      <c r="A4" s="61">
        <v>46106.0</v>
      </c>
      <c r="E4" s="4">
        <v>4535.5</v>
      </c>
    </row>
    <row r="5" ht="15.75" customHeight="1">
      <c r="A5" s="61">
        <v>46107.0</v>
      </c>
      <c r="E5" s="4">
        <v>4440.8</v>
      </c>
    </row>
    <row r="6" ht="15.75" customHeight="1">
      <c r="A6" s="61">
        <v>46108.0</v>
      </c>
      <c r="E6" s="4">
        <v>4508.6</v>
      </c>
    </row>
    <row r="7" ht="15.75" customHeight="1">
      <c r="A7" s="61">
        <v>46111.0</v>
      </c>
      <c r="E7" s="4">
        <v>4640.3</v>
      </c>
    </row>
    <row r="8" ht="15.75" customHeight="1">
      <c r="A8" s="61">
        <v>46112.0</v>
      </c>
      <c r="E8" s="4">
        <v>4765.6</v>
      </c>
    </row>
    <row r="9" ht="15.75" customHeight="1">
      <c r="A9" s="61">
        <v>46113.0</v>
      </c>
      <c r="E9" s="4">
        <v>4615.1</v>
      </c>
    </row>
    <row r="10" ht="15.75" customHeight="1">
      <c r="A10" s="61">
        <v>46114.0</v>
      </c>
      <c r="E10" s="4">
        <v>4702.7</v>
      </c>
    </row>
    <row r="11" ht="15.75" customHeight="1">
      <c r="A11" s="61">
        <v>46118.0</v>
      </c>
      <c r="E11" s="4">
        <v>4682.0</v>
      </c>
    </row>
    <row r="12" ht="15.75" customHeight="1">
      <c r="A12" s="61">
        <v>46119.0</v>
      </c>
      <c r="E12" s="4">
        <v>4835.9</v>
      </c>
    </row>
    <row r="13" ht="15.75" customHeight="1">
      <c r="A13" s="61">
        <v>46120.0</v>
      </c>
      <c r="E13" s="4">
        <v>4739.7</v>
      </c>
    </row>
    <row r="14" ht="15.75" customHeight="1">
      <c r="A14" s="61">
        <v>46121.0</v>
      </c>
      <c r="E14" s="4">
        <v>4777.1</v>
      </c>
    </row>
    <row r="15" ht="15.75" customHeight="1">
      <c r="A15" s="61">
        <v>46122.0</v>
      </c>
      <c r="E15" s="4">
        <v>4771.0</v>
      </c>
    </row>
    <row r="16" ht="15.75" customHeight="1">
      <c r="A16" s="61">
        <v>46125.0</v>
      </c>
      <c r="F16" s="4">
        <v>6.0135</v>
      </c>
    </row>
    <row r="17" ht="15.75" customHeight="1">
      <c r="A17" s="61">
        <v>46126.0</v>
      </c>
      <c r="F17" s="4">
        <v>6.095</v>
      </c>
    </row>
    <row r="18" ht="15.75" customHeight="1">
      <c r="A18" s="61">
        <v>46127.0</v>
      </c>
      <c r="F18" s="4">
        <v>6.118</v>
      </c>
    </row>
    <row r="19" ht="15.75" customHeight="1">
      <c r="A19" s="61">
        <v>46128.0</v>
      </c>
      <c r="F19" s="4">
        <v>6.0345</v>
      </c>
    </row>
    <row r="20" ht="15.75" customHeight="1">
      <c r="A20" s="61">
        <v>46129.0</v>
      </c>
      <c r="F20" s="4">
        <v>6.0815</v>
      </c>
      <c r="G20" s="53"/>
    </row>
    <row r="21" ht="15.75" customHeight="1">
      <c r="A21" s="61">
        <v>46132.0</v>
      </c>
      <c r="F21" s="4">
        <v>6.044</v>
      </c>
    </row>
    <row r="22" ht="15.75" customHeight="1">
      <c r="A22" s="61">
        <v>46133.0</v>
      </c>
      <c r="F22" s="4">
        <v>6.0575</v>
      </c>
    </row>
    <row r="23" ht="15.75" customHeight="1">
      <c r="A23" s="61">
        <v>46134.0</v>
      </c>
      <c r="F23" s="4">
        <v>6.068</v>
      </c>
    </row>
    <row r="24" ht="15.75" customHeight="1">
      <c r="A24" s="61">
        <v>46135.0</v>
      </c>
      <c r="F24" s="4">
        <v>6.0075</v>
      </c>
    </row>
    <row r="25" ht="15.75" customHeight="1">
      <c r="A25" s="61">
        <v>46136.0</v>
      </c>
      <c r="F25" s="4">
        <v>6.0285</v>
      </c>
    </row>
    <row r="26" ht="15.75" customHeight="1">
      <c r="A26" s="61">
        <v>46139.0</v>
      </c>
      <c r="F26" s="4">
        <v>6.009</v>
      </c>
    </row>
    <row r="27" ht="15.75" customHeight="1">
      <c r="A27" s="61">
        <v>46140.0</v>
      </c>
      <c r="F27" s="4">
        <v>6.0155</v>
      </c>
    </row>
    <row r="28" ht="15.75" customHeight="1">
      <c r="A28" s="61">
        <v>46141.0</v>
      </c>
      <c r="F28" s="4">
        <v>6.0</v>
      </c>
    </row>
    <row r="29" ht="15.75" customHeight="1">
      <c r="A29" s="61">
        <v>46142.0</v>
      </c>
      <c r="F29" s="4">
        <v>6.0225</v>
      </c>
    </row>
    <row r="30" ht="15.75" customHeight="1">
      <c r="A30" s="61">
        <v>46143.0</v>
      </c>
      <c r="F30" s="4">
        <v>5.9645</v>
      </c>
    </row>
    <row r="31" ht="15.75" customHeight="1">
      <c r="A31" s="61">
        <v>46146.0</v>
      </c>
      <c r="F31" s="4">
        <v>5.8805</v>
      </c>
    </row>
    <row r="32" ht="15.75" customHeight="1">
      <c r="A32" s="61">
        <v>46147.0</v>
      </c>
      <c r="F32" s="4">
        <v>6.069</v>
      </c>
    </row>
    <row r="33" ht="15.75" customHeight="1">
      <c r="A33" s="61">
        <v>46148.0</v>
      </c>
      <c r="F33" s="4">
        <v>6.1765</v>
      </c>
    </row>
    <row r="34" ht="15.75" customHeight="1">
      <c r="A34" s="61">
        <v>46149.0</v>
      </c>
      <c r="F34" s="4">
        <v>6.176</v>
      </c>
    </row>
    <row r="35" ht="15.75" customHeight="1">
      <c r="A35" s="61">
        <v>46150.0</v>
      </c>
      <c r="F35" s="4">
        <v>6.2825</v>
      </c>
    </row>
    <row r="36" ht="15.75" customHeight="1">
      <c r="A36" s="61">
        <v>46153.0</v>
      </c>
      <c r="F36" s="4">
        <v>6.47</v>
      </c>
    </row>
    <row r="37" ht="15.75" customHeight="1">
      <c r="A37" s="61">
        <v>46154.0</v>
      </c>
      <c r="F37" s="4">
        <v>6.654</v>
      </c>
    </row>
    <row r="38" ht="15.75" customHeight="1">
      <c r="A38" s="61">
        <v>46155.0</v>
      </c>
      <c r="F38" s="4">
        <v>6.6355</v>
      </c>
    </row>
    <row r="39" ht="15.75" customHeight="1">
      <c r="A39" s="61">
        <v>46156.0</v>
      </c>
      <c r="F39" s="4">
        <v>6.544</v>
      </c>
    </row>
    <row r="40" ht="15.75" customHeight="1">
      <c r="A40" s="61">
        <v>46157.0</v>
      </c>
      <c r="F40" s="4">
        <v>6.2895</v>
      </c>
    </row>
    <row r="41" ht="15.75" customHeight="1">
      <c r="A41" s="61">
        <v>46160.0</v>
      </c>
      <c r="F41" s="4">
        <v>6.321</v>
      </c>
    </row>
    <row r="42" ht="15.75" customHeight="1">
      <c r="A42" s="61">
        <v>46161.0</v>
      </c>
      <c r="F42" s="4">
        <v>6.1895</v>
      </c>
    </row>
    <row r="43" ht="15.75" customHeight="1">
      <c r="A43" s="61">
        <v>46162.0</v>
      </c>
      <c r="F43" s="4">
        <v>6.3095</v>
      </c>
    </row>
    <row r="44" ht="15.75" customHeight="1">
      <c r="A44" s="61">
        <v>46163.0</v>
      </c>
      <c r="F44" s="4">
        <v>6.376</v>
      </c>
    </row>
    <row r="45" ht="15.75" customHeight="1">
      <c r="A45" s="61">
        <v>46164.0</v>
      </c>
      <c r="F45" s="4">
        <v>6.3805</v>
      </c>
    </row>
    <row r="46" ht="15.75" customHeight="1">
      <c r="A46" s="61">
        <v>46167.0</v>
      </c>
      <c r="F46" s="4">
        <v>6.3805</v>
      </c>
    </row>
    <row r="47" ht="15.75" customHeight="1">
      <c r="A47" s="61">
        <v>46168.0</v>
      </c>
      <c r="F47" s="4">
        <v>6.45</v>
      </c>
    </row>
    <row r="48" ht="15.75" customHeight="1">
      <c r="A48" s="61"/>
    </row>
    <row r="49" ht="15.75" customHeight="1">
      <c r="A49" s="61"/>
    </row>
    <row r="50" ht="15.75" customHeight="1">
      <c r="A50" s="6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.29"/>
    <col customWidth="1" min="3" max="3" width="11.71"/>
    <col customWidth="1" min="4" max="4" width="3.86"/>
    <col customWidth="1" min="5" max="5" width="12.43"/>
    <col customWidth="1" min="6" max="6" width="8.71"/>
    <col customWidth="1" min="7" max="7" width="12.29"/>
    <col customWidth="1" min="8" max="8" width="8.71"/>
    <col customWidth="1" min="9" max="9" width="11.43"/>
    <col customWidth="1" min="10" max="26" width="8.71"/>
  </cols>
  <sheetData>
    <row r="1" ht="15.75" customHeight="1">
      <c r="A1" s="3" t="s">
        <v>150</v>
      </c>
      <c r="B1" s="2" t="s">
        <v>136</v>
      </c>
      <c r="C1" s="2" t="s">
        <v>316</v>
      </c>
      <c r="D1" s="2" t="s">
        <v>317</v>
      </c>
      <c r="E1" s="2" t="s">
        <v>318</v>
      </c>
      <c r="F1" s="4" t="s">
        <v>139</v>
      </c>
      <c r="G1" s="4" t="s">
        <v>319</v>
      </c>
      <c r="H1" s="4" t="s">
        <v>140</v>
      </c>
      <c r="I1" s="4" t="s">
        <v>320</v>
      </c>
      <c r="J1" s="4" t="s">
        <v>141</v>
      </c>
      <c r="K1" s="4" t="s">
        <v>321</v>
      </c>
    </row>
    <row r="2" ht="15.75" customHeight="1">
      <c r="A2" s="61">
        <v>46104.0</v>
      </c>
      <c r="H2" s="4">
        <v>100.0</v>
      </c>
      <c r="I2" s="4">
        <v>4450.0</v>
      </c>
    </row>
    <row r="3" ht="15.75" customHeight="1">
      <c r="A3" s="61">
        <v>46105.0</v>
      </c>
      <c r="H3" s="4">
        <v>100.0</v>
      </c>
    </row>
    <row r="4" ht="15.75" customHeight="1">
      <c r="A4" s="61">
        <v>46106.0</v>
      </c>
      <c r="H4" s="4">
        <v>100.0</v>
      </c>
    </row>
    <row r="5" ht="15.75" customHeight="1">
      <c r="A5" s="61">
        <v>46107.0</v>
      </c>
      <c r="H5" s="4">
        <v>100.0</v>
      </c>
    </row>
    <row r="6" ht="15.75" customHeight="1">
      <c r="A6" s="61">
        <v>46108.0</v>
      </c>
      <c r="H6" s="4">
        <v>100.0</v>
      </c>
    </row>
    <row r="7" ht="15.75" customHeight="1">
      <c r="A7" s="61">
        <v>46111.0</v>
      </c>
      <c r="C7" s="84"/>
      <c r="H7" s="4">
        <v>100.0</v>
      </c>
    </row>
    <row r="8" ht="15.75" customHeight="1">
      <c r="A8" s="61">
        <v>46112.0</v>
      </c>
      <c r="C8" s="84"/>
      <c r="H8" s="4">
        <v>100.0</v>
      </c>
    </row>
    <row r="9" ht="15.75" customHeight="1">
      <c r="A9" s="61">
        <v>46113.0</v>
      </c>
      <c r="C9" s="84"/>
      <c r="H9" s="4">
        <v>100.0</v>
      </c>
    </row>
    <row r="10" ht="15.75" customHeight="1">
      <c r="A10" s="61">
        <v>46114.0</v>
      </c>
      <c r="C10" s="84"/>
      <c r="H10" s="4">
        <v>100.0</v>
      </c>
    </row>
    <row r="11" ht="15.75" customHeight="1">
      <c r="A11" s="61">
        <v>46118.0</v>
      </c>
      <c r="C11" s="84"/>
      <c r="H11" s="4">
        <v>100.0</v>
      </c>
    </row>
    <row r="12" ht="15.75" customHeight="1">
      <c r="A12" s="61">
        <v>46119.0</v>
      </c>
      <c r="C12" s="84"/>
      <c r="H12" s="4">
        <v>100.0</v>
      </c>
    </row>
    <row r="13" ht="15.75" customHeight="1">
      <c r="A13" s="61">
        <v>46120.0</v>
      </c>
      <c r="C13" s="84"/>
      <c r="H13" s="4">
        <v>100.0</v>
      </c>
    </row>
    <row r="14" ht="15.75" customHeight="1">
      <c r="A14" s="61">
        <v>46121.0</v>
      </c>
      <c r="C14" s="84"/>
      <c r="H14" s="4">
        <v>100.0</v>
      </c>
    </row>
    <row r="15" ht="15.75" customHeight="1">
      <c r="A15" s="61">
        <v>46122.0</v>
      </c>
      <c r="H15" s="4">
        <v>100.0</v>
      </c>
    </row>
    <row r="16" ht="15.75" customHeight="1">
      <c r="A16" s="61">
        <v>46125.0</v>
      </c>
      <c r="H16" s="4">
        <v>0.0</v>
      </c>
      <c r="I16" s="4">
        <v>4704.0</v>
      </c>
      <c r="J16" s="4">
        <v>300.0</v>
      </c>
      <c r="K16" s="4">
        <v>5.809</v>
      </c>
    </row>
    <row r="17" ht="15.75" customHeight="1">
      <c r="A17" s="61">
        <v>46126.0</v>
      </c>
      <c r="J17" s="4">
        <v>300.0</v>
      </c>
    </row>
    <row r="18" ht="15.75" customHeight="1">
      <c r="A18" s="61">
        <v>46127.0</v>
      </c>
      <c r="J18" s="4">
        <v>300.0</v>
      </c>
    </row>
    <row r="19" ht="15.75" customHeight="1">
      <c r="A19" s="61">
        <v>46128.0</v>
      </c>
      <c r="J19" s="4">
        <v>300.0</v>
      </c>
    </row>
    <row r="20" ht="15.75" customHeight="1">
      <c r="A20" s="61">
        <v>46129.0</v>
      </c>
      <c r="J20" s="4">
        <v>300.0</v>
      </c>
    </row>
    <row r="21" ht="15.75" customHeight="1">
      <c r="A21" s="61">
        <v>46132.0</v>
      </c>
      <c r="J21" s="4">
        <v>300.0</v>
      </c>
    </row>
    <row r="22" ht="15.75" customHeight="1">
      <c r="A22" s="61">
        <v>46133.0</v>
      </c>
      <c r="J22" s="4">
        <v>300.0</v>
      </c>
    </row>
    <row r="23" ht="15.75" customHeight="1">
      <c r="A23" s="61">
        <v>46134.0</v>
      </c>
      <c r="J23" s="4">
        <v>300.0</v>
      </c>
    </row>
    <row r="24" ht="15.75" customHeight="1">
      <c r="A24" s="61">
        <v>46135.0</v>
      </c>
      <c r="J24" s="4">
        <v>300.0</v>
      </c>
    </row>
    <row r="25" ht="15.75" customHeight="1">
      <c r="A25" s="61">
        <v>46136.0</v>
      </c>
      <c r="J25" s="4">
        <v>300.0</v>
      </c>
    </row>
    <row r="26" ht="15.75" customHeight="1">
      <c r="A26" s="61">
        <v>46139.0</v>
      </c>
      <c r="J26" s="4">
        <v>300.0</v>
      </c>
    </row>
    <row r="27" ht="15.75" customHeight="1">
      <c r="A27" s="61">
        <v>46140.0</v>
      </c>
      <c r="J27" s="4">
        <v>300.0</v>
      </c>
    </row>
    <row r="28" ht="15.75" customHeight="1">
      <c r="A28" s="61">
        <v>46141.0</v>
      </c>
      <c r="J28" s="4">
        <v>300.0</v>
      </c>
    </row>
    <row r="29" ht="15.75" customHeight="1">
      <c r="A29" s="61">
        <v>46142.0</v>
      </c>
      <c r="J29" s="4">
        <v>300.0</v>
      </c>
    </row>
    <row r="30" ht="16.5" customHeight="1">
      <c r="A30" s="61">
        <v>46143.0</v>
      </c>
      <c r="J30" s="4">
        <v>300.0</v>
      </c>
    </row>
    <row r="31" ht="15.75" customHeight="1">
      <c r="A31" s="61">
        <v>46146.0</v>
      </c>
      <c r="J31" s="4">
        <v>300.0</v>
      </c>
    </row>
    <row r="32" ht="15.75" customHeight="1">
      <c r="A32" s="61">
        <v>46147.0</v>
      </c>
      <c r="J32" s="4">
        <v>300.0</v>
      </c>
    </row>
    <row r="33" ht="15.75" customHeight="1">
      <c r="A33" s="61">
        <v>46148.0</v>
      </c>
      <c r="J33" s="4">
        <v>300.0</v>
      </c>
    </row>
    <row r="34" ht="15.75" customHeight="1">
      <c r="A34" s="61">
        <v>46149.0</v>
      </c>
      <c r="J34" s="4">
        <v>300.0</v>
      </c>
    </row>
    <row r="35" ht="15.75" customHeight="1">
      <c r="A35" s="61">
        <v>46150.0</v>
      </c>
      <c r="J35" s="4">
        <v>300.0</v>
      </c>
    </row>
    <row r="36" ht="15.75" customHeight="1">
      <c r="A36" s="61">
        <v>46153.0</v>
      </c>
      <c r="J36" s="4">
        <v>300.0</v>
      </c>
    </row>
    <row r="37" ht="15.75" customHeight="1">
      <c r="A37" s="61">
        <v>46154.0</v>
      </c>
      <c r="J37" s="4">
        <v>300.0</v>
      </c>
    </row>
    <row r="38" ht="15.75" customHeight="1">
      <c r="A38" s="61">
        <v>46155.0</v>
      </c>
      <c r="J38" s="4">
        <v>300.0</v>
      </c>
    </row>
    <row r="39" ht="15.75" customHeight="1">
      <c r="A39" s="61">
        <v>46156.0</v>
      </c>
      <c r="J39" s="4">
        <v>300.0</v>
      </c>
    </row>
    <row r="40" ht="15.75" customHeight="1">
      <c r="A40" s="61">
        <v>46157.0</v>
      </c>
      <c r="J40" s="4">
        <v>300.0</v>
      </c>
    </row>
    <row r="41" ht="15.75" customHeight="1">
      <c r="A41" s="61">
        <v>46160.0</v>
      </c>
      <c r="J41" s="4">
        <v>300.0</v>
      </c>
    </row>
    <row r="42" ht="15.75" customHeight="1">
      <c r="A42" s="61">
        <v>46161.0</v>
      </c>
      <c r="J42" s="4">
        <v>300.0</v>
      </c>
    </row>
    <row r="43" ht="15.75" customHeight="1">
      <c r="A43" s="61">
        <v>46162.0</v>
      </c>
      <c r="J43" s="4">
        <v>300.0</v>
      </c>
    </row>
    <row r="44" ht="15.75" customHeight="1">
      <c r="A44" s="61">
        <v>46163.0</v>
      </c>
      <c r="J44" s="4">
        <v>300.0</v>
      </c>
    </row>
    <row r="45" ht="15.75" customHeight="1">
      <c r="A45" s="61">
        <v>46164.0</v>
      </c>
      <c r="J45" s="4">
        <v>300.0</v>
      </c>
    </row>
    <row r="46" ht="15.75" customHeight="1">
      <c r="A46" s="61">
        <v>46167.0</v>
      </c>
      <c r="J46" s="4">
        <v>300.0</v>
      </c>
    </row>
    <row r="47" ht="15.75" customHeight="1">
      <c r="A47" s="61">
        <v>46168.0</v>
      </c>
      <c r="J47" s="4">
        <v>300.0</v>
      </c>
    </row>
    <row r="48" ht="15.75" customHeight="1">
      <c r="A48" s="61"/>
    </row>
    <row r="49" ht="15.75" customHeight="1">
      <c r="A49" s="61"/>
    </row>
    <row r="50" ht="15.75" customHeight="1">
      <c r="A50" s="6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3" width="12.71"/>
    <col customWidth="1" min="4" max="74" width="8.71"/>
  </cols>
  <sheetData>
    <row r="1" ht="15.75" customHeight="1">
      <c r="A1" s="3" t="s">
        <v>150</v>
      </c>
      <c r="B1" s="20" t="s">
        <v>322</v>
      </c>
      <c r="C1" s="20" t="s">
        <v>323</v>
      </c>
      <c r="D1" s="20" t="s">
        <v>324</v>
      </c>
      <c r="E1" s="20" t="s">
        <v>325</v>
      </c>
      <c r="F1" s="20" t="s">
        <v>326</v>
      </c>
      <c r="G1" s="20" t="s">
        <v>327</v>
      </c>
      <c r="H1" s="20" t="s">
        <v>328</v>
      </c>
      <c r="I1" s="20" t="s">
        <v>329</v>
      </c>
      <c r="J1" s="20" t="s">
        <v>330</v>
      </c>
      <c r="K1" s="20" t="s">
        <v>331</v>
      </c>
      <c r="L1" s="20" t="s">
        <v>332</v>
      </c>
      <c r="M1" s="20" t="s">
        <v>333</v>
      </c>
      <c r="N1" s="20" t="s">
        <v>334</v>
      </c>
      <c r="O1" s="20" t="s">
        <v>335</v>
      </c>
      <c r="P1" s="20" t="s">
        <v>336</v>
      </c>
      <c r="Q1" s="20" t="s">
        <v>337</v>
      </c>
      <c r="R1" s="20" t="s">
        <v>338</v>
      </c>
      <c r="S1" s="20" t="s">
        <v>339</v>
      </c>
      <c r="T1" s="20" t="s">
        <v>340</v>
      </c>
      <c r="U1" s="20" t="s">
        <v>341</v>
      </c>
      <c r="V1" s="20" t="s">
        <v>342</v>
      </c>
      <c r="W1" s="20" t="s">
        <v>343</v>
      </c>
      <c r="X1" s="20" t="s">
        <v>344</v>
      </c>
      <c r="Y1" s="20" t="s">
        <v>345</v>
      </c>
      <c r="Z1" s="4" t="s">
        <v>346</v>
      </c>
      <c r="AA1" s="4" t="s">
        <v>347</v>
      </c>
      <c r="AB1" s="4" t="s">
        <v>348</v>
      </c>
      <c r="AC1" s="4" t="s">
        <v>349</v>
      </c>
      <c r="AD1" s="56" t="s">
        <v>350</v>
      </c>
      <c r="AE1" s="56" t="s">
        <v>351</v>
      </c>
      <c r="AF1" s="56" t="s">
        <v>352</v>
      </c>
      <c r="AG1" s="56" t="s">
        <v>353</v>
      </c>
      <c r="AH1" s="56" t="s">
        <v>354</v>
      </c>
      <c r="AI1" s="56" t="s">
        <v>355</v>
      </c>
      <c r="AJ1" s="54" t="s">
        <v>356</v>
      </c>
      <c r="AK1" s="56" t="s">
        <v>357</v>
      </c>
      <c r="AL1" s="56" t="s">
        <v>358</v>
      </c>
      <c r="AM1" s="56" t="s">
        <v>359</v>
      </c>
      <c r="AN1" s="56" t="s">
        <v>360</v>
      </c>
      <c r="AO1" s="56" t="s">
        <v>361</v>
      </c>
      <c r="AP1" s="56" t="s">
        <v>362</v>
      </c>
      <c r="AQ1" s="56" t="s">
        <v>363</v>
      </c>
      <c r="AR1" s="56" t="s">
        <v>364</v>
      </c>
      <c r="AS1" s="56" t="s">
        <v>365</v>
      </c>
      <c r="AT1" s="56" t="s">
        <v>366</v>
      </c>
      <c r="AU1" s="56" t="s">
        <v>367</v>
      </c>
      <c r="AV1" s="56" t="s">
        <v>368</v>
      </c>
      <c r="AW1" s="56" t="s">
        <v>369</v>
      </c>
      <c r="AX1" s="20" t="s">
        <v>370</v>
      </c>
      <c r="AY1" s="20" t="s">
        <v>371</v>
      </c>
      <c r="AZ1" s="20" t="s">
        <v>372</v>
      </c>
      <c r="BA1" s="20" t="s">
        <v>373</v>
      </c>
      <c r="BB1" s="20" t="s">
        <v>374</v>
      </c>
      <c r="BC1" s="20" t="s">
        <v>375</v>
      </c>
      <c r="BD1" s="20" t="s">
        <v>376</v>
      </c>
      <c r="BE1" s="20" t="s">
        <v>377</v>
      </c>
      <c r="BF1" s="20" t="s">
        <v>378</v>
      </c>
      <c r="BG1" s="20" t="s">
        <v>379</v>
      </c>
      <c r="BH1" s="20" t="s">
        <v>380</v>
      </c>
      <c r="BI1" s="20" t="s">
        <v>381</v>
      </c>
      <c r="BJ1" s="20" t="s">
        <v>382</v>
      </c>
      <c r="BK1" s="20" t="s">
        <v>383</v>
      </c>
      <c r="BL1" s="4" t="s">
        <v>384</v>
      </c>
      <c r="BM1" s="4" t="s">
        <v>385</v>
      </c>
      <c r="BN1" s="4" t="s">
        <v>386</v>
      </c>
      <c r="BO1" s="4" t="s">
        <v>387</v>
      </c>
      <c r="BP1" s="4" t="s">
        <v>388</v>
      </c>
      <c r="BQ1" s="4" t="s">
        <v>389</v>
      </c>
      <c r="BR1" s="4" t="s">
        <v>390</v>
      </c>
      <c r="BS1" s="4" t="s">
        <v>391</v>
      </c>
    </row>
    <row r="2" ht="15.75" customHeight="1">
      <c r="A2" s="61">
        <v>46104.0</v>
      </c>
      <c r="B2" s="84"/>
      <c r="C2" s="84"/>
      <c r="X2" s="37"/>
      <c r="Y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BD2" s="11"/>
      <c r="BE2" s="11"/>
      <c r="BF2" s="11"/>
      <c r="BG2" s="11"/>
      <c r="BH2" s="11"/>
      <c r="BI2" s="11"/>
      <c r="BJ2" s="11"/>
      <c r="BK2" s="11"/>
    </row>
    <row r="3" ht="15.75" customHeight="1">
      <c r="A3" s="61">
        <v>46105.0</v>
      </c>
      <c r="B3" s="84"/>
      <c r="C3" s="84"/>
      <c r="X3" s="37"/>
      <c r="Y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BD3" s="11"/>
      <c r="BE3" s="11"/>
      <c r="BF3" s="11"/>
      <c r="BG3" s="11"/>
      <c r="BH3" s="11"/>
      <c r="BI3" s="11"/>
      <c r="BJ3" s="11"/>
      <c r="BK3" s="11"/>
    </row>
    <row r="4" ht="15.75" customHeight="1">
      <c r="A4" s="61">
        <v>46106.0</v>
      </c>
      <c r="B4" s="84"/>
      <c r="C4" s="84"/>
      <c r="X4" s="37"/>
      <c r="Y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BD4" s="11"/>
      <c r="BE4" s="11"/>
      <c r="BF4" s="11"/>
      <c r="BG4" s="11"/>
      <c r="BH4" s="11"/>
      <c r="BI4" s="11"/>
      <c r="BJ4" s="11"/>
      <c r="BK4" s="11"/>
    </row>
    <row r="5" ht="15.75" customHeight="1">
      <c r="A5" s="61">
        <v>46107.0</v>
      </c>
      <c r="B5" s="84"/>
      <c r="C5" s="84"/>
      <c r="X5" s="37"/>
      <c r="Y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BD5" s="11"/>
      <c r="BE5" s="11"/>
      <c r="BF5" s="11"/>
      <c r="BG5" s="11"/>
      <c r="BH5" s="11"/>
      <c r="BI5" s="11"/>
      <c r="BJ5" s="11"/>
      <c r="BK5" s="11"/>
    </row>
    <row r="6" ht="15.75" customHeight="1">
      <c r="A6" s="61">
        <v>46108.0</v>
      </c>
      <c r="B6" s="84"/>
      <c r="C6" s="84"/>
      <c r="X6" s="37"/>
      <c r="Y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BD6" s="11"/>
      <c r="BE6" s="11"/>
      <c r="BF6" s="11"/>
      <c r="BG6" s="11"/>
      <c r="BH6" s="11"/>
      <c r="BI6" s="11"/>
      <c r="BJ6" s="11"/>
      <c r="BK6" s="11"/>
    </row>
    <row r="7" ht="15.75" customHeight="1">
      <c r="A7" s="61">
        <v>46111.0</v>
      </c>
      <c r="B7" s="84"/>
      <c r="C7" s="84"/>
      <c r="X7" s="37"/>
      <c r="Y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BD7" s="11"/>
      <c r="BE7" s="11"/>
      <c r="BF7" s="11"/>
      <c r="BG7" s="11"/>
      <c r="BH7" s="11"/>
      <c r="BI7" s="11"/>
      <c r="BJ7" s="11"/>
      <c r="BK7" s="11"/>
    </row>
    <row r="8" ht="15.75" customHeight="1">
      <c r="A8" s="61">
        <v>46112.0</v>
      </c>
      <c r="B8" s="84"/>
      <c r="C8" s="84"/>
      <c r="X8" s="37"/>
      <c r="Y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BD8" s="11"/>
      <c r="BE8" s="11"/>
      <c r="BF8" s="11"/>
      <c r="BG8" s="11"/>
      <c r="BH8" s="11"/>
      <c r="BI8" s="11"/>
      <c r="BJ8" s="11"/>
      <c r="BK8" s="11"/>
    </row>
    <row r="9" ht="15.75" customHeight="1">
      <c r="A9" s="61">
        <v>46113.0</v>
      </c>
      <c r="B9" s="84"/>
      <c r="C9" s="84"/>
      <c r="X9" s="37"/>
      <c r="Y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BD9" s="11"/>
      <c r="BE9" s="11"/>
      <c r="BF9" s="11"/>
      <c r="BG9" s="11"/>
      <c r="BH9" s="11"/>
      <c r="BI9" s="11"/>
      <c r="BJ9" s="11"/>
      <c r="BK9" s="11"/>
    </row>
    <row r="10" ht="15.75" customHeight="1">
      <c r="A10" s="61">
        <v>46114.0</v>
      </c>
      <c r="B10" s="84"/>
      <c r="C10" s="84"/>
      <c r="X10" s="37"/>
      <c r="Y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BD10" s="11"/>
      <c r="BE10" s="11"/>
      <c r="BF10" s="11"/>
      <c r="BG10" s="11"/>
      <c r="BH10" s="11"/>
      <c r="BI10" s="11"/>
      <c r="BJ10" s="11"/>
      <c r="BK10" s="11"/>
    </row>
    <row r="11" ht="15.75" customHeight="1">
      <c r="A11" s="61">
        <v>46119.0</v>
      </c>
      <c r="X11" s="37"/>
      <c r="Y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BD11" s="11"/>
      <c r="BE11" s="11"/>
      <c r="BF11" s="11"/>
      <c r="BG11" s="11"/>
      <c r="BH11" s="11"/>
      <c r="BI11" s="11"/>
      <c r="BJ11" s="11"/>
      <c r="BK11" s="11"/>
    </row>
    <row r="12" ht="15.75" customHeight="1">
      <c r="A12" s="61">
        <v>46120.0</v>
      </c>
      <c r="X12" s="37"/>
      <c r="Y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BD12" s="11"/>
      <c r="BE12" s="11"/>
      <c r="BF12" s="11"/>
      <c r="BG12" s="11"/>
      <c r="BH12" s="11"/>
      <c r="BI12" s="11"/>
      <c r="BJ12" s="11"/>
      <c r="BK12" s="11"/>
    </row>
    <row r="13" ht="15.75" customHeight="1">
      <c r="A13" s="61">
        <v>46121.0</v>
      </c>
      <c r="X13" s="37"/>
      <c r="Y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BD13" s="11"/>
      <c r="BE13" s="11"/>
      <c r="BF13" s="11"/>
      <c r="BG13" s="11"/>
      <c r="BH13" s="11"/>
      <c r="BI13" s="11"/>
      <c r="BJ13" s="11"/>
      <c r="BK13" s="11"/>
    </row>
    <row r="14" ht="15.75" customHeight="1">
      <c r="A14" s="61">
        <v>46122.0</v>
      </c>
      <c r="X14" s="37"/>
      <c r="Y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BD14" s="11"/>
      <c r="BE14" s="11"/>
      <c r="BF14" s="11"/>
      <c r="BG14" s="11"/>
      <c r="BH14" s="11"/>
      <c r="BI14" s="11"/>
      <c r="BJ14" s="11"/>
      <c r="BK14" s="11"/>
    </row>
    <row r="15" ht="15.75" customHeight="1">
      <c r="A15" s="61">
        <v>46125.0</v>
      </c>
      <c r="X15" s="37"/>
      <c r="Y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BD15" s="11"/>
      <c r="BE15" s="11"/>
      <c r="BF15" s="11"/>
      <c r="BG15" s="11"/>
      <c r="BH15" s="11"/>
      <c r="BI15" s="11"/>
      <c r="BJ15" s="11"/>
      <c r="BK15" s="11"/>
    </row>
    <row r="16" ht="15.75" customHeight="1">
      <c r="A16" s="61">
        <v>46126.0</v>
      </c>
      <c r="X16" s="37"/>
      <c r="Y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BD16" s="11"/>
      <c r="BE16" s="11"/>
      <c r="BF16" s="11"/>
      <c r="BG16" s="11"/>
      <c r="BH16" s="11"/>
      <c r="BI16" s="11"/>
      <c r="BJ16" s="11"/>
      <c r="BK16" s="11"/>
    </row>
    <row r="17" ht="15.75" customHeight="1">
      <c r="A17" s="61">
        <v>46127.0</v>
      </c>
      <c r="X17" s="37"/>
      <c r="Y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BD17" s="11"/>
      <c r="BE17" s="11"/>
      <c r="BF17" s="11"/>
      <c r="BG17" s="11"/>
      <c r="BH17" s="11"/>
      <c r="BI17" s="11"/>
      <c r="BJ17" s="11"/>
      <c r="BK17" s="11"/>
    </row>
    <row r="18" ht="15.75" customHeight="1">
      <c r="A18" s="61">
        <v>46128.0</v>
      </c>
      <c r="X18" s="37"/>
      <c r="Y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BD18" s="11"/>
      <c r="BE18" s="11"/>
      <c r="BF18" s="11"/>
      <c r="BG18" s="11"/>
      <c r="BH18" s="11"/>
      <c r="BI18" s="11"/>
      <c r="BJ18" s="11"/>
      <c r="BK18" s="11"/>
    </row>
    <row r="19" ht="15.75" customHeight="1">
      <c r="A19" s="61">
        <v>46129.0</v>
      </c>
      <c r="X19" s="37"/>
      <c r="Y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BD19" s="11"/>
      <c r="BE19" s="11"/>
      <c r="BF19" s="11"/>
      <c r="BG19" s="11"/>
      <c r="BH19" s="11"/>
      <c r="BI19" s="11"/>
      <c r="BJ19" s="11"/>
      <c r="BK19" s="11"/>
    </row>
    <row r="20" ht="15.75" customHeight="1">
      <c r="A20" s="61">
        <v>46132.0</v>
      </c>
      <c r="X20" s="37"/>
      <c r="Y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BD20" s="11"/>
      <c r="BE20" s="11"/>
      <c r="BF20" s="11"/>
      <c r="BG20" s="11"/>
      <c r="BH20" s="11"/>
      <c r="BI20" s="11"/>
      <c r="BJ20" s="11"/>
      <c r="BK20" s="11"/>
    </row>
    <row r="21" ht="15.75" customHeight="1">
      <c r="A21" s="61">
        <v>46133.0</v>
      </c>
      <c r="X21" s="37"/>
      <c r="Y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BD21" s="11"/>
      <c r="BE21" s="11"/>
      <c r="BF21" s="11"/>
      <c r="BG21" s="11"/>
      <c r="BH21" s="11"/>
      <c r="BI21" s="11"/>
      <c r="BJ21" s="11"/>
      <c r="BK21" s="11"/>
    </row>
    <row r="22" ht="15.75" customHeight="1">
      <c r="A22" s="61">
        <v>46134.0</v>
      </c>
      <c r="X22" s="37"/>
      <c r="Y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BD22" s="11"/>
      <c r="BE22" s="11"/>
      <c r="BF22" s="11"/>
      <c r="BG22" s="11"/>
      <c r="BH22" s="11"/>
      <c r="BI22" s="11"/>
      <c r="BJ22" s="11"/>
      <c r="BK22" s="11"/>
    </row>
    <row r="23" ht="15.75" customHeight="1">
      <c r="A23" s="61">
        <v>46135.0</v>
      </c>
      <c r="X23" s="37"/>
      <c r="Y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BD23" s="11"/>
      <c r="BE23" s="11"/>
      <c r="BF23" s="11"/>
      <c r="BG23" s="11"/>
      <c r="BH23" s="11"/>
      <c r="BI23" s="11"/>
      <c r="BJ23" s="11"/>
      <c r="BK23" s="11"/>
    </row>
    <row r="24" ht="15.75" customHeight="1">
      <c r="A24" s="61">
        <v>46136.0</v>
      </c>
      <c r="X24" s="37"/>
      <c r="Y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BD24" s="11"/>
      <c r="BE24" s="11"/>
      <c r="BF24" s="11"/>
      <c r="BG24" s="11"/>
      <c r="BH24" s="11"/>
      <c r="BI24" s="11"/>
      <c r="BJ24" s="11"/>
      <c r="BK24" s="11"/>
    </row>
    <row r="25" ht="15.75" customHeight="1">
      <c r="A25" s="61">
        <v>46139.0</v>
      </c>
      <c r="X25" s="37"/>
      <c r="Y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BD25" s="11"/>
      <c r="BE25" s="11"/>
      <c r="BF25" s="11"/>
      <c r="BG25" s="11"/>
      <c r="BH25" s="11"/>
      <c r="BI25" s="11"/>
      <c r="BJ25" s="11"/>
      <c r="BK25" s="11"/>
    </row>
    <row r="26" ht="15.75" customHeight="1">
      <c r="A26" s="61">
        <v>46140.0</v>
      </c>
      <c r="X26" s="37"/>
      <c r="Y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BD26" s="11"/>
      <c r="BE26" s="11"/>
      <c r="BF26" s="11"/>
      <c r="BG26" s="11"/>
      <c r="BH26" s="11"/>
      <c r="BI26" s="11"/>
      <c r="BJ26" s="11"/>
      <c r="BK26" s="11"/>
    </row>
    <row r="27" ht="15.75" customHeight="1">
      <c r="A27" s="61">
        <v>46141.0</v>
      </c>
      <c r="X27" s="37"/>
      <c r="Y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BD27" s="11"/>
      <c r="BE27" s="11"/>
      <c r="BF27" s="11"/>
      <c r="BG27" s="11"/>
      <c r="BH27" s="11"/>
      <c r="BI27" s="11"/>
      <c r="BJ27" s="11"/>
      <c r="BK27" s="11"/>
    </row>
    <row r="28" ht="15.75" customHeight="1">
      <c r="A28" s="61">
        <v>46142.0</v>
      </c>
      <c r="X28" s="37"/>
      <c r="Y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BD28" s="11"/>
      <c r="BE28" s="11"/>
      <c r="BF28" s="11"/>
      <c r="BG28" s="11"/>
      <c r="BH28" s="11"/>
      <c r="BI28" s="11"/>
      <c r="BJ28" s="11"/>
      <c r="BK28" s="11"/>
    </row>
    <row r="29" ht="15.75" customHeight="1">
      <c r="A29" s="61">
        <v>46143.0</v>
      </c>
      <c r="X29" s="37"/>
      <c r="Y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BD29" s="11"/>
      <c r="BE29" s="11"/>
      <c r="BF29" s="11"/>
      <c r="BG29" s="11"/>
      <c r="BH29" s="11"/>
      <c r="BI29" s="11"/>
      <c r="BJ29" s="11"/>
      <c r="BK29" s="11"/>
    </row>
    <row r="30" ht="15.75" customHeight="1">
      <c r="A30" s="61">
        <v>46146.0</v>
      </c>
      <c r="X30" s="37"/>
      <c r="Y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BD30" s="11"/>
      <c r="BE30" s="11"/>
      <c r="BF30" s="11"/>
      <c r="BG30" s="11"/>
      <c r="BH30" s="11"/>
      <c r="BI30" s="11"/>
      <c r="BJ30" s="11"/>
      <c r="BK30" s="11"/>
    </row>
    <row r="31" ht="15.75" customHeight="1">
      <c r="A31" s="61">
        <v>46147.0</v>
      </c>
      <c r="X31" s="37"/>
      <c r="Y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BD31" s="11"/>
      <c r="BE31" s="11"/>
      <c r="BF31" s="11"/>
      <c r="BG31" s="11"/>
      <c r="BH31" s="11"/>
      <c r="BI31" s="11"/>
      <c r="BJ31" s="11"/>
      <c r="BK31" s="11"/>
    </row>
    <row r="32" ht="15.75" customHeight="1">
      <c r="A32" s="61">
        <v>46148.0</v>
      </c>
      <c r="X32" s="37"/>
      <c r="Y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BD32" s="11"/>
      <c r="BE32" s="11"/>
      <c r="BF32" s="11"/>
      <c r="BG32" s="11"/>
      <c r="BH32" s="11"/>
      <c r="BI32" s="11"/>
      <c r="BJ32" s="11"/>
      <c r="BK32" s="11"/>
    </row>
    <row r="33" ht="15.75" customHeight="1">
      <c r="A33" s="63">
        <v>46149.0</v>
      </c>
      <c r="V33" s="4">
        <v>0.5</v>
      </c>
      <c r="X33" s="37"/>
      <c r="Y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BD33" s="11"/>
      <c r="BE33" s="11"/>
      <c r="BF33" s="11"/>
      <c r="BG33" s="11"/>
      <c r="BH33" s="11"/>
      <c r="BI33" s="11"/>
      <c r="BJ33" s="11"/>
      <c r="BK33" s="11"/>
    </row>
    <row r="34" ht="15.75" customHeight="1">
      <c r="A34" s="63">
        <v>46150.0</v>
      </c>
      <c r="P34" s="4">
        <v>1.03</v>
      </c>
      <c r="X34" s="37"/>
      <c r="Y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BD34" s="11"/>
      <c r="BE34" s="11"/>
      <c r="BF34" s="11"/>
      <c r="BG34" s="11"/>
      <c r="BH34" s="11"/>
      <c r="BI34" s="11"/>
      <c r="BJ34" s="11"/>
      <c r="BK34" s="11"/>
    </row>
    <row r="35" ht="15.75" customHeight="1">
      <c r="A35" s="98">
        <v>46153.0</v>
      </c>
      <c r="X35" s="37"/>
      <c r="Y35" s="37"/>
      <c r="AJ35" s="56">
        <v>0.5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BD35" s="11"/>
      <c r="BE35" s="11"/>
      <c r="BF35" s="11"/>
      <c r="BG35" s="11"/>
      <c r="BH35" s="11"/>
      <c r="BI35" s="11"/>
      <c r="BJ35" s="11"/>
      <c r="BK35" s="11"/>
    </row>
    <row r="36" ht="15.75" customHeight="1">
      <c r="A36" s="98">
        <v>46154.0</v>
      </c>
      <c r="X36" s="37"/>
      <c r="Y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BD36" s="11"/>
      <c r="BE36" s="11"/>
      <c r="BF36" s="11"/>
      <c r="BG36" s="11"/>
      <c r="BH36" s="11"/>
      <c r="BI36" s="11"/>
      <c r="BJ36" s="11"/>
      <c r="BK36" s="11"/>
    </row>
    <row r="37" ht="15.75" customHeight="1">
      <c r="A37" s="98">
        <v>46155.0</v>
      </c>
      <c r="X37" s="37"/>
      <c r="Y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BD37" s="11"/>
      <c r="BE37" s="11"/>
      <c r="BF37" s="11"/>
      <c r="BG37" s="11"/>
      <c r="BH37" s="11"/>
      <c r="BI37" s="11"/>
      <c r="BJ37" s="11"/>
      <c r="BK37" s="11"/>
    </row>
    <row r="38" ht="15.75" customHeight="1">
      <c r="A38" s="98">
        <v>46156.0</v>
      </c>
      <c r="X38" s="37"/>
      <c r="Y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BD38" s="11"/>
      <c r="BE38" s="11"/>
      <c r="BF38" s="11"/>
      <c r="BG38" s="11"/>
      <c r="BH38" s="11"/>
      <c r="BI38" s="11"/>
      <c r="BJ38" s="11"/>
      <c r="BK38" s="11"/>
    </row>
    <row r="39" ht="15.75" customHeight="1">
      <c r="A39" s="98">
        <v>46157.0</v>
      </c>
      <c r="X39" s="37"/>
      <c r="Y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BD39" s="11"/>
      <c r="BE39" s="11"/>
      <c r="BF39" s="11"/>
      <c r="BG39" s="11"/>
      <c r="BH39" s="11"/>
      <c r="BI39" s="11"/>
      <c r="BJ39" s="11"/>
      <c r="BK39" s="11"/>
    </row>
    <row r="40" ht="15.75" customHeight="1">
      <c r="A40" s="98">
        <v>46160.0</v>
      </c>
      <c r="X40" s="37"/>
      <c r="Y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BD40" s="11"/>
      <c r="BE40" s="11"/>
      <c r="BF40" s="11"/>
      <c r="BG40" s="11"/>
      <c r="BH40" s="11"/>
      <c r="BI40" s="11"/>
      <c r="BJ40" s="11"/>
      <c r="BK40" s="11"/>
    </row>
    <row r="41" ht="15.75" customHeight="1">
      <c r="A41" s="98">
        <v>46161.0</v>
      </c>
      <c r="X41" s="37"/>
      <c r="Y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BD41" s="11"/>
      <c r="BE41" s="11"/>
      <c r="BF41" s="11"/>
      <c r="BG41" s="11"/>
      <c r="BH41" s="11"/>
      <c r="BI41" s="11"/>
      <c r="BJ41" s="11"/>
      <c r="BK41" s="11"/>
    </row>
    <row r="42" ht="15.75" customHeight="1">
      <c r="A42" s="98">
        <v>46162.0</v>
      </c>
      <c r="X42" s="37"/>
      <c r="Y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BD42" s="11"/>
      <c r="BE42" s="11"/>
      <c r="BF42" s="11"/>
      <c r="BG42" s="11"/>
      <c r="BH42" s="11"/>
      <c r="BI42" s="11"/>
      <c r="BJ42" s="11"/>
      <c r="BK42" s="11"/>
    </row>
    <row r="43" ht="15.75" customHeight="1">
      <c r="A43" s="98">
        <v>46163.0</v>
      </c>
      <c r="X43" s="37"/>
      <c r="Y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BD43" s="11"/>
      <c r="BE43" s="11"/>
      <c r="BF43" s="11"/>
      <c r="BG43" s="11"/>
      <c r="BH43" s="11"/>
      <c r="BI43" s="11"/>
      <c r="BJ43" s="11"/>
      <c r="BK43" s="11"/>
    </row>
    <row r="44" ht="15.75" customHeight="1">
      <c r="A44" s="98">
        <v>46164.0</v>
      </c>
      <c r="X44" s="37"/>
      <c r="Y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BD44" s="11"/>
      <c r="BE44" s="11"/>
      <c r="BF44" s="11"/>
      <c r="BG44" s="11"/>
      <c r="BH44" s="11"/>
      <c r="BI44" s="11"/>
      <c r="BJ44" s="11"/>
      <c r="BK44" s="11"/>
    </row>
    <row r="45" ht="15.75" customHeight="1">
      <c r="A45" s="98">
        <v>46167.0</v>
      </c>
      <c r="X45" s="37"/>
      <c r="Y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BD45" s="11"/>
      <c r="BE45" s="11"/>
      <c r="BF45" s="11"/>
      <c r="BG45" s="11"/>
      <c r="BH45" s="11"/>
      <c r="BI45" s="11"/>
      <c r="BJ45" s="11"/>
      <c r="BK45" s="11"/>
    </row>
    <row r="46" ht="15.75" customHeight="1">
      <c r="A46" s="98">
        <v>46168.0</v>
      </c>
      <c r="X46" s="37"/>
      <c r="Y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BD46" s="11"/>
      <c r="BE46" s="11"/>
      <c r="BF46" s="11"/>
      <c r="BG46" s="11"/>
      <c r="BH46" s="11"/>
      <c r="BI46" s="11"/>
      <c r="BJ46" s="11"/>
      <c r="BK46" s="11"/>
    </row>
    <row r="47" ht="15.75" customHeight="1">
      <c r="A47" s="98">
        <v>46169.0</v>
      </c>
      <c r="X47" s="37"/>
      <c r="Y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BD47" s="11"/>
      <c r="BE47" s="11"/>
      <c r="BF47" s="11"/>
      <c r="BG47" s="11"/>
      <c r="BH47" s="11"/>
      <c r="BI47" s="11"/>
      <c r="BJ47" s="11"/>
      <c r="BK47" s="11"/>
    </row>
    <row r="48" ht="15.75" customHeight="1">
      <c r="A48" s="98">
        <v>46170.0</v>
      </c>
      <c r="X48" s="37"/>
      <c r="Y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BD48" s="11"/>
      <c r="BE48" s="11"/>
      <c r="BF48" s="11"/>
      <c r="BG48" s="11"/>
      <c r="BH48" s="11"/>
      <c r="BI48" s="11"/>
      <c r="BJ48" s="11"/>
      <c r="BK48" s="11"/>
    </row>
    <row r="49" ht="15.75" customHeight="1">
      <c r="A49" s="98">
        <v>46171.0</v>
      </c>
      <c r="X49" s="37"/>
      <c r="Y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BD49" s="11"/>
      <c r="BE49" s="11"/>
      <c r="BF49" s="11"/>
      <c r="BG49" s="11"/>
      <c r="BH49" s="11"/>
      <c r="BI49" s="11"/>
      <c r="BJ49" s="11"/>
      <c r="BK49" s="11"/>
    </row>
    <row r="50" ht="15.75" customHeight="1">
      <c r="X50" s="37"/>
      <c r="Y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BD50" s="11"/>
      <c r="BE50" s="11"/>
      <c r="BF50" s="11"/>
      <c r="BG50" s="11"/>
      <c r="BH50" s="11"/>
      <c r="BI50" s="11"/>
      <c r="BJ50" s="11"/>
      <c r="BK50" s="11"/>
    </row>
    <row r="51" ht="15.75" customHeight="1">
      <c r="X51" s="37"/>
      <c r="Y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BD51" s="11"/>
      <c r="BE51" s="11"/>
      <c r="BF51" s="11"/>
      <c r="BG51" s="11"/>
      <c r="BH51" s="11"/>
      <c r="BI51" s="11"/>
      <c r="BJ51" s="11"/>
      <c r="BK51" s="11"/>
    </row>
    <row r="52" ht="15.75" customHeight="1">
      <c r="X52" s="37"/>
      <c r="Y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BD52" s="11"/>
      <c r="BE52" s="11"/>
      <c r="BF52" s="11"/>
      <c r="BG52" s="11"/>
      <c r="BH52" s="11"/>
      <c r="BI52" s="11"/>
      <c r="BJ52" s="11"/>
      <c r="BK52" s="11"/>
    </row>
    <row r="53" ht="15.75" customHeight="1">
      <c r="X53" s="37"/>
      <c r="Y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BD53" s="11"/>
      <c r="BE53" s="11"/>
      <c r="BF53" s="11"/>
      <c r="BG53" s="11"/>
      <c r="BH53" s="11"/>
      <c r="BI53" s="11"/>
      <c r="BJ53" s="11"/>
      <c r="BK53" s="11"/>
    </row>
    <row r="54" ht="15.75" customHeight="1">
      <c r="X54" s="37"/>
      <c r="Y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BD54" s="11"/>
      <c r="BE54" s="11"/>
      <c r="BF54" s="11"/>
      <c r="BG54" s="11"/>
      <c r="BH54" s="11"/>
      <c r="BI54" s="11"/>
      <c r="BJ54" s="11"/>
      <c r="BK54" s="11"/>
    </row>
    <row r="55" ht="15.75" customHeight="1">
      <c r="X55" s="37"/>
      <c r="Y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BD55" s="11"/>
      <c r="BE55" s="11"/>
      <c r="BF55" s="11"/>
      <c r="BG55" s="11"/>
      <c r="BH55" s="11"/>
      <c r="BI55" s="11"/>
      <c r="BJ55" s="11"/>
      <c r="BK55" s="11"/>
    </row>
    <row r="56" ht="15.75" customHeight="1">
      <c r="X56" s="37"/>
      <c r="Y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BD56" s="11"/>
      <c r="BE56" s="11"/>
      <c r="BF56" s="11"/>
      <c r="BG56" s="11"/>
      <c r="BH56" s="11"/>
      <c r="BI56" s="11"/>
      <c r="BJ56" s="11"/>
      <c r="BK56" s="11"/>
    </row>
    <row r="57" ht="15.75" customHeight="1">
      <c r="X57" s="37"/>
      <c r="Y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BD57" s="11"/>
      <c r="BE57" s="11"/>
      <c r="BF57" s="11"/>
      <c r="BG57" s="11"/>
      <c r="BH57" s="11"/>
      <c r="BI57" s="11"/>
      <c r="BJ57" s="11"/>
      <c r="BK57" s="11"/>
    </row>
    <row r="58" ht="15.75" customHeight="1">
      <c r="X58" s="37"/>
      <c r="Y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BD58" s="11"/>
      <c r="BE58" s="11"/>
      <c r="BF58" s="11"/>
      <c r="BG58" s="11"/>
      <c r="BH58" s="11"/>
      <c r="BI58" s="11"/>
      <c r="BJ58" s="11"/>
      <c r="BK58" s="11"/>
    </row>
    <row r="59" ht="15.75" customHeight="1">
      <c r="X59" s="37"/>
      <c r="Y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BD59" s="11"/>
      <c r="BE59" s="11"/>
      <c r="BF59" s="11"/>
      <c r="BG59" s="11"/>
      <c r="BH59" s="11"/>
      <c r="BI59" s="11"/>
      <c r="BJ59" s="11"/>
      <c r="BK59" s="11"/>
    </row>
    <row r="60" ht="15.75" customHeight="1">
      <c r="X60" s="37"/>
      <c r="Y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BD60" s="11"/>
      <c r="BE60" s="11"/>
      <c r="BF60" s="11"/>
      <c r="BG60" s="11"/>
      <c r="BH60" s="11"/>
      <c r="BI60" s="11"/>
      <c r="BJ60" s="11"/>
      <c r="BK60" s="11"/>
    </row>
    <row r="61" ht="15.75" customHeight="1">
      <c r="X61" s="37"/>
      <c r="Y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BD61" s="11"/>
      <c r="BE61" s="11"/>
      <c r="BF61" s="11"/>
      <c r="BG61" s="11"/>
      <c r="BH61" s="11"/>
      <c r="BI61" s="11"/>
      <c r="BJ61" s="11"/>
      <c r="BK61" s="11"/>
    </row>
    <row r="62" ht="15.75" customHeight="1">
      <c r="X62" s="37"/>
      <c r="Y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BD62" s="11"/>
      <c r="BE62" s="11"/>
      <c r="BF62" s="11"/>
      <c r="BG62" s="11"/>
      <c r="BH62" s="11"/>
      <c r="BI62" s="11"/>
      <c r="BJ62" s="11"/>
      <c r="BK62" s="11"/>
    </row>
    <row r="63" ht="15.75" customHeight="1">
      <c r="X63" s="37"/>
      <c r="Y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BD63" s="11"/>
      <c r="BE63" s="11"/>
      <c r="BF63" s="11"/>
      <c r="BG63" s="11"/>
      <c r="BH63" s="11"/>
      <c r="BI63" s="11"/>
      <c r="BJ63" s="11"/>
      <c r="BK63" s="11"/>
    </row>
    <row r="64" ht="15.75" customHeight="1">
      <c r="X64" s="37"/>
      <c r="Y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BD64" s="11"/>
      <c r="BE64" s="11"/>
      <c r="BF64" s="11"/>
      <c r="BG64" s="11"/>
      <c r="BH64" s="11"/>
      <c r="BI64" s="11"/>
      <c r="BJ64" s="11"/>
      <c r="BK64" s="11"/>
    </row>
    <row r="65" ht="15.75" customHeight="1">
      <c r="X65" s="37"/>
      <c r="Y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BD65" s="11"/>
      <c r="BE65" s="11"/>
      <c r="BF65" s="11"/>
      <c r="BG65" s="11"/>
      <c r="BH65" s="11"/>
      <c r="BI65" s="11"/>
      <c r="BJ65" s="11"/>
      <c r="BK65" s="11"/>
    </row>
    <row r="66" ht="15.75" customHeight="1">
      <c r="X66" s="37"/>
      <c r="Y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BD66" s="11"/>
      <c r="BE66" s="11"/>
      <c r="BF66" s="11"/>
      <c r="BG66" s="11"/>
      <c r="BH66" s="11"/>
      <c r="BI66" s="11"/>
      <c r="BJ66" s="11"/>
      <c r="BK66" s="11"/>
    </row>
    <row r="67" ht="15.75" customHeight="1">
      <c r="X67" s="37"/>
      <c r="Y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BD67" s="11"/>
      <c r="BE67" s="11"/>
      <c r="BF67" s="11"/>
      <c r="BG67" s="11"/>
      <c r="BH67" s="11"/>
      <c r="BI67" s="11"/>
      <c r="BJ67" s="11"/>
      <c r="BK67" s="11"/>
    </row>
    <row r="68" ht="15.75" customHeight="1">
      <c r="X68" s="37"/>
      <c r="Y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BD68" s="11"/>
      <c r="BE68" s="11"/>
      <c r="BF68" s="11"/>
      <c r="BG68" s="11"/>
      <c r="BH68" s="11"/>
      <c r="BI68" s="11"/>
      <c r="BJ68" s="11"/>
      <c r="BK68" s="11"/>
    </row>
    <row r="69" ht="15.75" customHeight="1">
      <c r="X69" s="37"/>
      <c r="Y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BD69" s="11"/>
      <c r="BE69" s="11"/>
      <c r="BF69" s="11"/>
      <c r="BG69" s="11"/>
      <c r="BH69" s="11"/>
      <c r="BI69" s="11"/>
      <c r="BJ69" s="11"/>
      <c r="BK69" s="11"/>
    </row>
    <row r="70" ht="15.75" customHeight="1">
      <c r="X70" s="37"/>
      <c r="Y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BD70" s="11"/>
      <c r="BE70" s="11"/>
      <c r="BF70" s="11"/>
      <c r="BG70" s="11"/>
      <c r="BH70" s="11"/>
      <c r="BI70" s="11"/>
      <c r="BJ70" s="11"/>
      <c r="BK70" s="11"/>
    </row>
    <row r="71" ht="15.75" customHeight="1">
      <c r="X71" s="37"/>
      <c r="Y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BD71" s="11"/>
      <c r="BE71" s="11"/>
      <c r="BF71" s="11"/>
      <c r="BG71" s="11"/>
      <c r="BH71" s="11"/>
      <c r="BI71" s="11"/>
      <c r="BJ71" s="11"/>
      <c r="BK71" s="11"/>
    </row>
    <row r="72" ht="15.75" customHeight="1">
      <c r="X72" s="37"/>
      <c r="Y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BD72" s="11"/>
      <c r="BE72" s="11"/>
      <c r="BF72" s="11"/>
      <c r="BG72" s="11"/>
      <c r="BH72" s="11"/>
      <c r="BI72" s="11"/>
      <c r="BJ72" s="11"/>
      <c r="BK72" s="11"/>
    </row>
    <row r="73" ht="15.75" customHeight="1">
      <c r="X73" s="37"/>
      <c r="Y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BD73" s="11"/>
      <c r="BE73" s="11"/>
      <c r="BF73" s="11"/>
      <c r="BG73" s="11"/>
      <c r="BH73" s="11"/>
      <c r="BI73" s="11"/>
      <c r="BJ73" s="11"/>
      <c r="BK73" s="11"/>
    </row>
    <row r="74" ht="15.75" customHeight="1">
      <c r="X74" s="37"/>
      <c r="Y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BD74" s="11"/>
      <c r="BE74" s="11"/>
      <c r="BF74" s="11"/>
      <c r="BG74" s="11"/>
      <c r="BH74" s="11"/>
      <c r="BI74" s="11"/>
      <c r="BJ74" s="11"/>
      <c r="BK74" s="11"/>
    </row>
    <row r="75" ht="15.75" customHeight="1">
      <c r="X75" s="37"/>
      <c r="Y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BD75" s="11"/>
      <c r="BE75" s="11"/>
      <c r="BF75" s="11"/>
      <c r="BG75" s="11"/>
      <c r="BH75" s="11"/>
      <c r="BI75" s="11"/>
      <c r="BJ75" s="11"/>
      <c r="BK75" s="11"/>
    </row>
    <row r="76" ht="15.75" customHeight="1">
      <c r="X76" s="37"/>
      <c r="Y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BD76" s="11"/>
      <c r="BE76" s="11"/>
      <c r="BF76" s="11"/>
      <c r="BG76" s="11"/>
      <c r="BH76" s="11"/>
      <c r="BI76" s="11"/>
      <c r="BJ76" s="11"/>
      <c r="BK76" s="11"/>
    </row>
    <row r="77" ht="15.75" customHeight="1">
      <c r="X77" s="37"/>
      <c r="Y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BD77" s="11"/>
      <c r="BE77" s="11"/>
      <c r="BF77" s="11"/>
      <c r="BG77" s="11"/>
      <c r="BH77" s="11"/>
      <c r="BI77" s="11"/>
      <c r="BJ77" s="11"/>
      <c r="BK77" s="11"/>
    </row>
    <row r="78" ht="15.75" customHeight="1">
      <c r="X78" s="37"/>
      <c r="Y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BD78" s="11"/>
      <c r="BE78" s="11"/>
      <c r="BF78" s="11"/>
      <c r="BG78" s="11"/>
      <c r="BH78" s="11"/>
      <c r="BI78" s="11"/>
      <c r="BJ78" s="11"/>
      <c r="BK78" s="11"/>
    </row>
    <row r="79" ht="15.75" customHeight="1">
      <c r="X79" s="37"/>
      <c r="Y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BD79" s="11"/>
      <c r="BE79" s="11"/>
      <c r="BF79" s="11"/>
      <c r="BG79" s="11"/>
      <c r="BH79" s="11"/>
      <c r="BI79" s="11"/>
      <c r="BJ79" s="11"/>
      <c r="BK79" s="11"/>
    </row>
    <row r="80" ht="15.75" customHeight="1">
      <c r="X80" s="37"/>
      <c r="Y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BD80" s="11"/>
      <c r="BE80" s="11"/>
      <c r="BF80" s="11"/>
      <c r="BG80" s="11"/>
      <c r="BH80" s="11"/>
      <c r="BI80" s="11"/>
      <c r="BJ80" s="11"/>
      <c r="BK80" s="11"/>
    </row>
    <row r="81" ht="15.75" customHeight="1">
      <c r="X81" s="37"/>
      <c r="Y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BD81" s="11"/>
      <c r="BE81" s="11"/>
      <c r="BF81" s="11"/>
      <c r="BG81" s="11"/>
      <c r="BH81" s="11"/>
      <c r="BI81" s="11"/>
      <c r="BJ81" s="11"/>
      <c r="BK81" s="11"/>
    </row>
    <row r="82" ht="15.75" customHeight="1">
      <c r="X82" s="37"/>
      <c r="Y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BD82" s="11"/>
      <c r="BE82" s="11"/>
      <c r="BF82" s="11"/>
      <c r="BG82" s="11"/>
      <c r="BH82" s="11"/>
      <c r="BI82" s="11"/>
      <c r="BJ82" s="11"/>
      <c r="BK82" s="11"/>
    </row>
    <row r="83" ht="15.75" customHeight="1">
      <c r="X83" s="37"/>
      <c r="Y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BD83" s="11"/>
      <c r="BE83" s="11"/>
      <c r="BF83" s="11"/>
      <c r="BG83" s="11"/>
      <c r="BH83" s="11"/>
      <c r="BI83" s="11"/>
      <c r="BJ83" s="11"/>
      <c r="BK83" s="11"/>
    </row>
    <row r="84" ht="15.75" customHeight="1">
      <c r="X84" s="37"/>
      <c r="Y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BD84" s="11"/>
      <c r="BE84" s="11"/>
      <c r="BF84" s="11"/>
      <c r="BG84" s="11"/>
      <c r="BH84" s="11"/>
      <c r="BI84" s="11"/>
      <c r="BJ84" s="11"/>
      <c r="BK84" s="11"/>
    </row>
    <row r="85" ht="15.75" customHeight="1">
      <c r="X85" s="37"/>
      <c r="Y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BD85" s="11"/>
      <c r="BE85" s="11"/>
      <c r="BF85" s="11"/>
      <c r="BG85" s="11"/>
      <c r="BH85" s="11"/>
      <c r="BI85" s="11"/>
      <c r="BJ85" s="11"/>
      <c r="BK85" s="11"/>
    </row>
    <row r="86" ht="15.75" customHeight="1">
      <c r="X86" s="37"/>
      <c r="Y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BD86" s="11"/>
      <c r="BE86" s="11"/>
      <c r="BF86" s="11"/>
      <c r="BG86" s="11"/>
      <c r="BH86" s="11"/>
      <c r="BI86" s="11"/>
      <c r="BJ86" s="11"/>
      <c r="BK86" s="11"/>
    </row>
    <row r="87" ht="15.75" customHeight="1">
      <c r="X87" s="37"/>
      <c r="Y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BD87" s="11"/>
      <c r="BE87" s="11"/>
      <c r="BF87" s="11"/>
      <c r="BG87" s="11"/>
      <c r="BH87" s="11"/>
      <c r="BI87" s="11"/>
      <c r="BJ87" s="11"/>
      <c r="BK87" s="11"/>
    </row>
    <row r="88" ht="15.75" customHeight="1">
      <c r="X88" s="37"/>
      <c r="Y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BD88" s="11"/>
      <c r="BE88" s="11"/>
      <c r="BF88" s="11"/>
      <c r="BG88" s="11"/>
      <c r="BH88" s="11"/>
      <c r="BI88" s="11"/>
      <c r="BJ88" s="11"/>
      <c r="BK88" s="11"/>
    </row>
    <row r="89" ht="15.75" customHeight="1">
      <c r="X89" s="37"/>
      <c r="Y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BD89" s="11"/>
      <c r="BE89" s="11"/>
      <c r="BF89" s="11"/>
      <c r="BG89" s="11"/>
      <c r="BH89" s="11"/>
      <c r="BI89" s="11"/>
      <c r="BJ89" s="11"/>
      <c r="BK89" s="11"/>
    </row>
    <row r="90" ht="15.75" customHeight="1">
      <c r="X90" s="37"/>
      <c r="Y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BD90" s="11"/>
      <c r="BE90" s="11"/>
      <c r="BF90" s="11"/>
      <c r="BG90" s="11"/>
      <c r="BH90" s="11"/>
      <c r="BI90" s="11"/>
      <c r="BJ90" s="11"/>
      <c r="BK90" s="11"/>
    </row>
    <row r="91" ht="15.75" customHeight="1">
      <c r="X91" s="37"/>
      <c r="Y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BD91" s="11"/>
      <c r="BE91" s="11"/>
      <c r="BF91" s="11"/>
      <c r="BG91" s="11"/>
      <c r="BH91" s="11"/>
      <c r="BI91" s="11"/>
      <c r="BJ91" s="11"/>
      <c r="BK91" s="11"/>
    </row>
    <row r="92" ht="15.75" customHeight="1">
      <c r="X92" s="37"/>
      <c r="Y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BD92" s="11"/>
      <c r="BE92" s="11"/>
      <c r="BF92" s="11"/>
      <c r="BG92" s="11"/>
      <c r="BH92" s="11"/>
      <c r="BI92" s="11"/>
      <c r="BJ92" s="11"/>
      <c r="BK92" s="11"/>
    </row>
    <row r="93" ht="15.75" customHeight="1">
      <c r="X93" s="37"/>
      <c r="Y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BD93" s="11"/>
      <c r="BE93" s="11"/>
      <c r="BF93" s="11"/>
      <c r="BG93" s="11"/>
      <c r="BH93" s="11"/>
      <c r="BI93" s="11"/>
      <c r="BJ93" s="11"/>
      <c r="BK93" s="11"/>
    </row>
    <row r="94" ht="15.75" customHeight="1">
      <c r="X94" s="37"/>
      <c r="Y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BD94" s="11"/>
      <c r="BE94" s="11"/>
      <c r="BF94" s="11"/>
      <c r="BG94" s="11"/>
      <c r="BH94" s="11"/>
      <c r="BI94" s="11"/>
      <c r="BJ94" s="11"/>
      <c r="BK94" s="11"/>
    </row>
    <row r="95" ht="15.75" customHeight="1">
      <c r="X95" s="37"/>
      <c r="Y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BD95" s="11"/>
      <c r="BE95" s="11"/>
      <c r="BF95" s="11"/>
      <c r="BG95" s="11"/>
      <c r="BH95" s="11"/>
      <c r="BI95" s="11"/>
      <c r="BJ95" s="11"/>
      <c r="BK95" s="11"/>
    </row>
    <row r="96" ht="15.75" customHeight="1">
      <c r="X96" s="37"/>
      <c r="Y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BD96" s="11"/>
      <c r="BE96" s="11"/>
      <c r="BF96" s="11"/>
      <c r="BG96" s="11"/>
      <c r="BH96" s="11"/>
      <c r="BI96" s="11"/>
      <c r="BJ96" s="11"/>
      <c r="BK96" s="11"/>
    </row>
    <row r="97" ht="15.75" customHeight="1">
      <c r="X97" s="37"/>
      <c r="Y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BD97" s="11"/>
      <c r="BE97" s="11"/>
      <c r="BF97" s="11"/>
      <c r="BG97" s="11"/>
      <c r="BH97" s="11"/>
      <c r="BI97" s="11"/>
      <c r="BJ97" s="11"/>
      <c r="BK97" s="11"/>
    </row>
    <row r="98" ht="15.75" customHeight="1">
      <c r="X98" s="37"/>
      <c r="Y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BD98" s="11"/>
      <c r="BE98" s="11"/>
      <c r="BF98" s="11"/>
      <c r="BG98" s="11"/>
      <c r="BH98" s="11"/>
      <c r="BI98" s="11"/>
      <c r="BJ98" s="11"/>
      <c r="BK98" s="11"/>
    </row>
    <row r="99" ht="15.75" customHeight="1">
      <c r="X99" s="37"/>
      <c r="Y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BD99" s="11"/>
      <c r="BE99" s="11"/>
      <c r="BF99" s="11"/>
      <c r="BG99" s="11"/>
      <c r="BH99" s="11"/>
      <c r="BI99" s="11"/>
      <c r="BJ99" s="11"/>
      <c r="BK99" s="11"/>
    </row>
    <row r="100" ht="15.75" customHeight="1">
      <c r="X100" s="37"/>
      <c r="Y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BD100" s="11"/>
      <c r="BE100" s="11"/>
      <c r="BF100" s="11"/>
      <c r="BG100" s="11"/>
      <c r="BH100" s="11"/>
      <c r="BI100" s="11"/>
      <c r="BJ100" s="11"/>
      <c r="BK100" s="11"/>
    </row>
    <row r="101" ht="15.75" customHeight="1">
      <c r="X101" s="37"/>
      <c r="Y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BD101" s="11"/>
      <c r="BE101" s="11"/>
      <c r="BF101" s="11"/>
      <c r="BG101" s="11"/>
      <c r="BH101" s="11"/>
      <c r="BI101" s="11"/>
      <c r="BJ101" s="11"/>
      <c r="BK101" s="11"/>
    </row>
    <row r="102" ht="15.75" customHeight="1">
      <c r="X102" s="37"/>
      <c r="Y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BD102" s="11"/>
      <c r="BE102" s="11"/>
      <c r="BF102" s="11"/>
      <c r="BG102" s="11"/>
      <c r="BH102" s="11"/>
      <c r="BI102" s="11"/>
      <c r="BJ102" s="11"/>
      <c r="BK102" s="11"/>
    </row>
    <row r="103" ht="15.75" customHeight="1">
      <c r="X103" s="37"/>
      <c r="Y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BD103" s="11"/>
      <c r="BE103" s="11"/>
      <c r="BF103" s="11"/>
      <c r="BG103" s="11"/>
      <c r="BH103" s="11"/>
      <c r="BI103" s="11"/>
      <c r="BJ103" s="11"/>
      <c r="BK103" s="11"/>
    </row>
    <row r="104" ht="15.75" customHeight="1">
      <c r="X104" s="37"/>
      <c r="Y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BD104" s="11"/>
      <c r="BE104" s="11"/>
      <c r="BF104" s="11"/>
      <c r="BG104" s="11"/>
      <c r="BH104" s="11"/>
      <c r="BI104" s="11"/>
      <c r="BJ104" s="11"/>
      <c r="BK104" s="11"/>
    </row>
    <row r="105" ht="15.75" customHeight="1">
      <c r="X105" s="37"/>
      <c r="Y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BD105" s="11"/>
      <c r="BE105" s="11"/>
      <c r="BF105" s="11"/>
      <c r="BG105" s="11"/>
      <c r="BH105" s="11"/>
      <c r="BI105" s="11"/>
      <c r="BJ105" s="11"/>
      <c r="BK105" s="11"/>
    </row>
    <row r="106" ht="15.75" customHeight="1">
      <c r="X106" s="37"/>
      <c r="Y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BD106" s="11"/>
      <c r="BE106" s="11"/>
      <c r="BF106" s="11"/>
      <c r="BG106" s="11"/>
      <c r="BH106" s="11"/>
      <c r="BI106" s="11"/>
      <c r="BJ106" s="11"/>
      <c r="BK106" s="11"/>
    </row>
    <row r="107" ht="15.75" customHeight="1">
      <c r="X107" s="37"/>
      <c r="Y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BD107" s="11"/>
      <c r="BE107" s="11"/>
      <c r="BF107" s="11"/>
      <c r="BG107" s="11"/>
      <c r="BH107" s="11"/>
      <c r="BI107" s="11"/>
      <c r="BJ107" s="11"/>
      <c r="BK107" s="11"/>
    </row>
    <row r="108" ht="15.75" customHeight="1">
      <c r="X108" s="37"/>
      <c r="Y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BD108" s="11"/>
      <c r="BE108" s="11"/>
      <c r="BF108" s="11"/>
      <c r="BG108" s="11"/>
      <c r="BH108" s="11"/>
      <c r="BI108" s="11"/>
      <c r="BJ108" s="11"/>
      <c r="BK108" s="11"/>
    </row>
    <row r="109" ht="15.75" customHeight="1">
      <c r="X109" s="37"/>
      <c r="Y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BD109" s="11"/>
      <c r="BE109" s="11"/>
      <c r="BF109" s="11"/>
      <c r="BG109" s="11"/>
      <c r="BH109" s="11"/>
      <c r="BI109" s="11"/>
      <c r="BJ109" s="11"/>
      <c r="BK109" s="11"/>
    </row>
    <row r="110" ht="15.75" customHeight="1">
      <c r="X110" s="37"/>
      <c r="Y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BD110" s="11"/>
      <c r="BE110" s="11"/>
      <c r="BF110" s="11"/>
      <c r="BG110" s="11"/>
      <c r="BH110" s="11"/>
      <c r="BI110" s="11"/>
      <c r="BJ110" s="11"/>
      <c r="BK110" s="11"/>
    </row>
    <row r="111" ht="15.75" customHeight="1">
      <c r="X111" s="37"/>
      <c r="Y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BD111" s="11"/>
      <c r="BE111" s="11"/>
      <c r="BF111" s="11"/>
      <c r="BG111" s="11"/>
      <c r="BH111" s="11"/>
      <c r="BI111" s="11"/>
      <c r="BJ111" s="11"/>
      <c r="BK111" s="11"/>
    </row>
    <row r="112" ht="15.75" customHeight="1">
      <c r="X112" s="37"/>
      <c r="Y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BD112" s="11"/>
      <c r="BE112" s="11"/>
      <c r="BF112" s="11"/>
      <c r="BG112" s="11"/>
      <c r="BH112" s="11"/>
      <c r="BI112" s="11"/>
      <c r="BJ112" s="11"/>
      <c r="BK112" s="11"/>
    </row>
    <row r="113" ht="15.75" customHeight="1">
      <c r="X113" s="37"/>
      <c r="Y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BD113" s="11"/>
      <c r="BE113" s="11"/>
      <c r="BF113" s="11"/>
      <c r="BG113" s="11"/>
      <c r="BH113" s="11"/>
      <c r="BI113" s="11"/>
      <c r="BJ113" s="11"/>
      <c r="BK113" s="11"/>
    </row>
    <row r="114" ht="15.75" customHeight="1">
      <c r="X114" s="37"/>
      <c r="Y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BD114" s="11"/>
      <c r="BE114" s="11"/>
      <c r="BF114" s="11"/>
      <c r="BG114" s="11"/>
      <c r="BH114" s="11"/>
      <c r="BI114" s="11"/>
      <c r="BJ114" s="11"/>
      <c r="BK114" s="11"/>
    </row>
    <row r="115" ht="15.75" customHeight="1">
      <c r="X115" s="37"/>
      <c r="Y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BD115" s="11"/>
      <c r="BE115" s="11"/>
      <c r="BF115" s="11"/>
      <c r="BG115" s="11"/>
      <c r="BH115" s="11"/>
      <c r="BI115" s="11"/>
      <c r="BJ115" s="11"/>
      <c r="BK115" s="11"/>
    </row>
    <row r="116" ht="15.75" customHeight="1">
      <c r="X116" s="37"/>
      <c r="Y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BD116" s="11"/>
      <c r="BE116" s="11"/>
      <c r="BF116" s="11"/>
      <c r="BG116" s="11"/>
      <c r="BH116" s="11"/>
      <c r="BI116" s="11"/>
      <c r="BJ116" s="11"/>
      <c r="BK116" s="11"/>
    </row>
    <row r="117" ht="15.75" customHeight="1">
      <c r="X117" s="37"/>
      <c r="Y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BD117" s="11"/>
      <c r="BE117" s="11"/>
      <c r="BF117" s="11"/>
      <c r="BG117" s="11"/>
      <c r="BH117" s="11"/>
      <c r="BI117" s="11"/>
      <c r="BJ117" s="11"/>
      <c r="BK117" s="11"/>
    </row>
    <row r="118" ht="15.75" customHeight="1">
      <c r="X118" s="37"/>
      <c r="Y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BD118" s="11"/>
      <c r="BE118" s="11"/>
      <c r="BF118" s="11"/>
      <c r="BG118" s="11"/>
      <c r="BH118" s="11"/>
      <c r="BI118" s="11"/>
      <c r="BJ118" s="11"/>
      <c r="BK118" s="11"/>
    </row>
    <row r="119" ht="15.75" customHeight="1">
      <c r="X119" s="37"/>
      <c r="Y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BD119" s="11"/>
      <c r="BE119" s="11"/>
      <c r="BF119" s="11"/>
      <c r="BG119" s="11"/>
      <c r="BH119" s="11"/>
      <c r="BI119" s="11"/>
      <c r="BJ119" s="11"/>
      <c r="BK119" s="11"/>
    </row>
    <row r="120" ht="15.75" customHeight="1">
      <c r="X120" s="37"/>
      <c r="Y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BD120" s="11"/>
      <c r="BE120" s="11"/>
      <c r="BF120" s="11"/>
      <c r="BG120" s="11"/>
      <c r="BH120" s="11"/>
      <c r="BI120" s="11"/>
      <c r="BJ120" s="11"/>
      <c r="BK120" s="11"/>
    </row>
    <row r="121" ht="15.75" customHeight="1">
      <c r="X121" s="37"/>
      <c r="Y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BD121" s="11"/>
      <c r="BE121" s="11"/>
      <c r="BF121" s="11"/>
      <c r="BG121" s="11"/>
      <c r="BH121" s="11"/>
      <c r="BI121" s="11"/>
      <c r="BJ121" s="11"/>
      <c r="BK121" s="11"/>
    </row>
    <row r="122" ht="15.75" customHeight="1">
      <c r="X122" s="37"/>
      <c r="Y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BD122" s="11"/>
      <c r="BE122" s="11"/>
      <c r="BF122" s="11"/>
      <c r="BG122" s="11"/>
      <c r="BH122" s="11"/>
      <c r="BI122" s="11"/>
      <c r="BJ122" s="11"/>
      <c r="BK122" s="11"/>
    </row>
    <row r="123" ht="15.75" customHeight="1">
      <c r="X123" s="37"/>
      <c r="Y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BD123" s="11"/>
      <c r="BE123" s="11"/>
      <c r="BF123" s="11"/>
      <c r="BG123" s="11"/>
      <c r="BH123" s="11"/>
      <c r="BI123" s="11"/>
      <c r="BJ123" s="11"/>
      <c r="BK123" s="11"/>
    </row>
    <row r="124" ht="15.75" customHeight="1">
      <c r="X124" s="37"/>
      <c r="Y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BD124" s="11"/>
      <c r="BE124" s="11"/>
      <c r="BF124" s="11"/>
      <c r="BG124" s="11"/>
      <c r="BH124" s="11"/>
      <c r="BI124" s="11"/>
      <c r="BJ124" s="11"/>
      <c r="BK124" s="11"/>
    </row>
    <row r="125" ht="15.75" customHeight="1">
      <c r="X125" s="37"/>
      <c r="Y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BD125" s="11"/>
      <c r="BE125" s="11"/>
      <c r="BF125" s="11"/>
      <c r="BG125" s="11"/>
      <c r="BH125" s="11"/>
      <c r="BI125" s="11"/>
      <c r="BJ125" s="11"/>
      <c r="BK125" s="11"/>
    </row>
    <row r="126" ht="15.75" customHeight="1">
      <c r="X126" s="37"/>
      <c r="Y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BD126" s="11"/>
      <c r="BE126" s="11"/>
      <c r="BF126" s="11"/>
      <c r="BG126" s="11"/>
      <c r="BH126" s="11"/>
      <c r="BI126" s="11"/>
      <c r="BJ126" s="11"/>
      <c r="BK126" s="11"/>
    </row>
    <row r="127" ht="15.75" customHeight="1">
      <c r="X127" s="37"/>
      <c r="Y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BD127" s="11"/>
      <c r="BE127" s="11"/>
      <c r="BF127" s="11"/>
      <c r="BG127" s="11"/>
      <c r="BH127" s="11"/>
      <c r="BI127" s="11"/>
      <c r="BJ127" s="11"/>
      <c r="BK127" s="11"/>
    </row>
    <row r="128" ht="15.75" customHeight="1">
      <c r="X128" s="37"/>
      <c r="Y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BD128" s="11"/>
      <c r="BE128" s="11"/>
      <c r="BF128" s="11"/>
      <c r="BG128" s="11"/>
      <c r="BH128" s="11"/>
      <c r="BI128" s="11"/>
      <c r="BJ128" s="11"/>
      <c r="BK128" s="11"/>
    </row>
    <row r="129" ht="15.75" customHeight="1">
      <c r="X129" s="37"/>
      <c r="Y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BD129" s="11"/>
      <c r="BE129" s="11"/>
      <c r="BF129" s="11"/>
      <c r="BG129" s="11"/>
      <c r="BH129" s="11"/>
      <c r="BI129" s="11"/>
      <c r="BJ129" s="11"/>
      <c r="BK129" s="11"/>
    </row>
    <row r="130" ht="15.75" customHeight="1">
      <c r="X130" s="37"/>
      <c r="Y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BD130" s="11"/>
      <c r="BE130" s="11"/>
      <c r="BF130" s="11"/>
      <c r="BG130" s="11"/>
      <c r="BH130" s="11"/>
      <c r="BI130" s="11"/>
      <c r="BJ130" s="11"/>
      <c r="BK130" s="11"/>
    </row>
    <row r="131" ht="15.75" customHeight="1">
      <c r="X131" s="37"/>
      <c r="Y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BD131" s="11"/>
      <c r="BE131" s="11"/>
      <c r="BF131" s="11"/>
      <c r="BG131" s="11"/>
      <c r="BH131" s="11"/>
      <c r="BI131" s="11"/>
      <c r="BJ131" s="11"/>
      <c r="BK131" s="11"/>
    </row>
    <row r="132" ht="15.75" customHeight="1">
      <c r="X132" s="37"/>
      <c r="Y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BD132" s="11"/>
      <c r="BE132" s="11"/>
      <c r="BF132" s="11"/>
      <c r="BG132" s="11"/>
      <c r="BH132" s="11"/>
      <c r="BI132" s="11"/>
      <c r="BJ132" s="11"/>
      <c r="BK132" s="11"/>
    </row>
    <row r="133" ht="15.75" customHeight="1">
      <c r="X133" s="37"/>
      <c r="Y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BD133" s="11"/>
      <c r="BE133" s="11"/>
      <c r="BF133" s="11"/>
      <c r="BG133" s="11"/>
      <c r="BH133" s="11"/>
      <c r="BI133" s="11"/>
      <c r="BJ133" s="11"/>
      <c r="BK133" s="11"/>
    </row>
    <row r="134" ht="15.75" customHeight="1">
      <c r="X134" s="37"/>
      <c r="Y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BD134" s="11"/>
      <c r="BE134" s="11"/>
      <c r="BF134" s="11"/>
      <c r="BG134" s="11"/>
      <c r="BH134" s="11"/>
      <c r="BI134" s="11"/>
      <c r="BJ134" s="11"/>
      <c r="BK134" s="11"/>
    </row>
    <row r="135" ht="15.75" customHeight="1">
      <c r="X135" s="37"/>
      <c r="Y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BD135" s="11"/>
      <c r="BE135" s="11"/>
      <c r="BF135" s="11"/>
      <c r="BG135" s="11"/>
      <c r="BH135" s="11"/>
      <c r="BI135" s="11"/>
      <c r="BJ135" s="11"/>
      <c r="BK135" s="11"/>
    </row>
    <row r="136" ht="15.75" customHeight="1">
      <c r="X136" s="37"/>
      <c r="Y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BD136" s="11"/>
      <c r="BE136" s="11"/>
      <c r="BF136" s="11"/>
      <c r="BG136" s="11"/>
      <c r="BH136" s="11"/>
      <c r="BI136" s="11"/>
      <c r="BJ136" s="11"/>
      <c r="BK136" s="11"/>
    </row>
    <row r="137" ht="15.75" customHeight="1">
      <c r="X137" s="37"/>
      <c r="Y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BD137" s="11"/>
      <c r="BE137" s="11"/>
      <c r="BF137" s="11"/>
      <c r="BG137" s="11"/>
      <c r="BH137" s="11"/>
      <c r="BI137" s="11"/>
      <c r="BJ137" s="11"/>
      <c r="BK137" s="11"/>
    </row>
    <row r="138" ht="15.75" customHeight="1">
      <c r="X138" s="37"/>
      <c r="Y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BD138" s="11"/>
      <c r="BE138" s="11"/>
      <c r="BF138" s="11"/>
      <c r="BG138" s="11"/>
      <c r="BH138" s="11"/>
      <c r="BI138" s="11"/>
      <c r="BJ138" s="11"/>
      <c r="BK138" s="11"/>
    </row>
    <row r="139" ht="15.75" customHeight="1">
      <c r="X139" s="37"/>
      <c r="Y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BD139" s="11"/>
      <c r="BE139" s="11"/>
      <c r="BF139" s="11"/>
      <c r="BG139" s="11"/>
      <c r="BH139" s="11"/>
      <c r="BI139" s="11"/>
      <c r="BJ139" s="11"/>
      <c r="BK139" s="11"/>
    </row>
    <row r="140" ht="15.75" customHeight="1">
      <c r="X140" s="37"/>
      <c r="Y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BD140" s="11"/>
      <c r="BE140" s="11"/>
      <c r="BF140" s="11"/>
      <c r="BG140" s="11"/>
      <c r="BH140" s="11"/>
      <c r="BI140" s="11"/>
      <c r="BJ140" s="11"/>
      <c r="BK140" s="11"/>
    </row>
    <row r="141" ht="15.75" customHeight="1">
      <c r="X141" s="37"/>
      <c r="Y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BD141" s="11"/>
      <c r="BE141" s="11"/>
      <c r="BF141" s="11"/>
      <c r="BG141" s="11"/>
      <c r="BH141" s="11"/>
      <c r="BI141" s="11"/>
      <c r="BJ141" s="11"/>
      <c r="BK141" s="11"/>
    </row>
    <row r="142" ht="15.75" customHeight="1">
      <c r="X142" s="37"/>
      <c r="Y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BD142" s="11"/>
      <c r="BE142" s="11"/>
      <c r="BF142" s="11"/>
      <c r="BG142" s="11"/>
      <c r="BH142" s="11"/>
      <c r="BI142" s="11"/>
      <c r="BJ142" s="11"/>
      <c r="BK142" s="11"/>
    </row>
    <row r="143" ht="15.75" customHeight="1">
      <c r="X143" s="37"/>
      <c r="Y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BD143" s="11"/>
      <c r="BE143" s="11"/>
      <c r="BF143" s="11"/>
      <c r="BG143" s="11"/>
      <c r="BH143" s="11"/>
      <c r="BI143" s="11"/>
      <c r="BJ143" s="11"/>
      <c r="BK143" s="11"/>
    </row>
    <row r="144" ht="15.75" customHeight="1">
      <c r="X144" s="37"/>
      <c r="Y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BD144" s="11"/>
      <c r="BE144" s="11"/>
      <c r="BF144" s="11"/>
      <c r="BG144" s="11"/>
      <c r="BH144" s="11"/>
      <c r="BI144" s="11"/>
      <c r="BJ144" s="11"/>
      <c r="BK144" s="11"/>
    </row>
    <row r="145" ht="15.75" customHeight="1">
      <c r="X145" s="37"/>
      <c r="Y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BD145" s="11"/>
      <c r="BE145" s="11"/>
      <c r="BF145" s="11"/>
      <c r="BG145" s="11"/>
      <c r="BH145" s="11"/>
      <c r="BI145" s="11"/>
      <c r="BJ145" s="11"/>
      <c r="BK145" s="11"/>
    </row>
    <row r="146" ht="15.75" customHeight="1">
      <c r="X146" s="37"/>
      <c r="Y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BD146" s="11"/>
      <c r="BE146" s="11"/>
      <c r="BF146" s="11"/>
      <c r="BG146" s="11"/>
      <c r="BH146" s="11"/>
      <c r="BI146" s="11"/>
      <c r="BJ146" s="11"/>
      <c r="BK146" s="11"/>
    </row>
    <row r="147" ht="15.75" customHeight="1">
      <c r="X147" s="37"/>
      <c r="Y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BD147" s="11"/>
      <c r="BE147" s="11"/>
      <c r="BF147" s="11"/>
      <c r="BG147" s="11"/>
      <c r="BH147" s="11"/>
      <c r="BI147" s="11"/>
      <c r="BJ147" s="11"/>
      <c r="BK147" s="11"/>
    </row>
    <row r="148" ht="15.75" customHeight="1">
      <c r="X148" s="37"/>
      <c r="Y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BD148" s="11"/>
      <c r="BE148" s="11"/>
      <c r="BF148" s="11"/>
      <c r="BG148" s="11"/>
      <c r="BH148" s="11"/>
      <c r="BI148" s="11"/>
      <c r="BJ148" s="11"/>
      <c r="BK148" s="11"/>
    </row>
    <row r="149" ht="15.75" customHeight="1">
      <c r="X149" s="37"/>
      <c r="Y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BD149" s="11"/>
      <c r="BE149" s="11"/>
      <c r="BF149" s="11"/>
      <c r="BG149" s="11"/>
      <c r="BH149" s="11"/>
      <c r="BI149" s="11"/>
      <c r="BJ149" s="11"/>
      <c r="BK149" s="11"/>
    </row>
    <row r="150" ht="15.75" customHeight="1">
      <c r="X150" s="37"/>
      <c r="Y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BD150" s="11"/>
      <c r="BE150" s="11"/>
      <c r="BF150" s="11"/>
      <c r="BG150" s="11"/>
      <c r="BH150" s="11"/>
      <c r="BI150" s="11"/>
      <c r="BJ150" s="11"/>
      <c r="BK150" s="11"/>
    </row>
    <row r="151" ht="15.75" customHeight="1">
      <c r="X151" s="37"/>
      <c r="Y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BD151" s="11"/>
      <c r="BE151" s="11"/>
      <c r="BF151" s="11"/>
      <c r="BG151" s="11"/>
      <c r="BH151" s="11"/>
      <c r="BI151" s="11"/>
      <c r="BJ151" s="11"/>
      <c r="BK151" s="11"/>
    </row>
    <row r="152" ht="15.75" customHeight="1">
      <c r="X152" s="37"/>
      <c r="Y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BD152" s="11"/>
      <c r="BE152" s="11"/>
      <c r="BF152" s="11"/>
      <c r="BG152" s="11"/>
      <c r="BH152" s="11"/>
      <c r="BI152" s="11"/>
      <c r="BJ152" s="11"/>
      <c r="BK152" s="11"/>
    </row>
    <row r="153" ht="15.75" customHeight="1">
      <c r="X153" s="37"/>
      <c r="Y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BD153" s="11"/>
      <c r="BE153" s="11"/>
      <c r="BF153" s="11"/>
      <c r="BG153" s="11"/>
      <c r="BH153" s="11"/>
      <c r="BI153" s="11"/>
      <c r="BJ153" s="11"/>
      <c r="BK153" s="11"/>
    </row>
    <row r="154" ht="15.75" customHeight="1">
      <c r="X154" s="37"/>
      <c r="Y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BD154" s="11"/>
      <c r="BE154" s="11"/>
      <c r="BF154" s="11"/>
      <c r="BG154" s="11"/>
      <c r="BH154" s="11"/>
      <c r="BI154" s="11"/>
      <c r="BJ154" s="11"/>
      <c r="BK154" s="11"/>
    </row>
    <row r="155" ht="15.75" customHeight="1">
      <c r="X155" s="37"/>
      <c r="Y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BD155" s="11"/>
      <c r="BE155" s="11"/>
      <c r="BF155" s="11"/>
      <c r="BG155" s="11"/>
      <c r="BH155" s="11"/>
      <c r="BI155" s="11"/>
      <c r="BJ155" s="11"/>
      <c r="BK155" s="11"/>
    </row>
    <row r="156" ht="15.75" customHeight="1">
      <c r="X156" s="37"/>
      <c r="Y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BD156" s="11"/>
      <c r="BE156" s="11"/>
      <c r="BF156" s="11"/>
      <c r="BG156" s="11"/>
      <c r="BH156" s="11"/>
      <c r="BI156" s="11"/>
      <c r="BJ156" s="11"/>
      <c r="BK156" s="11"/>
    </row>
    <row r="157" ht="15.75" customHeight="1">
      <c r="X157" s="37"/>
      <c r="Y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BD157" s="11"/>
      <c r="BE157" s="11"/>
      <c r="BF157" s="11"/>
      <c r="BG157" s="11"/>
      <c r="BH157" s="11"/>
      <c r="BI157" s="11"/>
      <c r="BJ157" s="11"/>
      <c r="BK157" s="11"/>
    </row>
    <row r="158" ht="15.75" customHeight="1">
      <c r="X158" s="37"/>
      <c r="Y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BD158" s="11"/>
      <c r="BE158" s="11"/>
      <c r="BF158" s="11"/>
      <c r="BG158" s="11"/>
      <c r="BH158" s="11"/>
      <c r="BI158" s="11"/>
      <c r="BJ158" s="11"/>
      <c r="BK158" s="11"/>
    </row>
    <row r="159" ht="15.75" customHeight="1">
      <c r="X159" s="37"/>
      <c r="Y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BD159" s="11"/>
      <c r="BE159" s="11"/>
      <c r="BF159" s="11"/>
      <c r="BG159" s="11"/>
      <c r="BH159" s="11"/>
      <c r="BI159" s="11"/>
      <c r="BJ159" s="11"/>
      <c r="BK159" s="11"/>
    </row>
    <row r="160" ht="15.75" customHeight="1">
      <c r="X160" s="37"/>
      <c r="Y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BD160" s="11"/>
      <c r="BE160" s="11"/>
      <c r="BF160" s="11"/>
      <c r="BG160" s="11"/>
      <c r="BH160" s="11"/>
      <c r="BI160" s="11"/>
      <c r="BJ160" s="11"/>
      <c r="BK160" s="11"/>
    </row>
    <row r="161" ht="15.75" customHeight="1">
      <c r="X161" s="37"/>
      <c r="Y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BD161" s="11"/>
      <c r="BE161" s="11"/>
      <c r="BF161" s="11"/>
      <c r="BG161" s="11"/>
      <c r="BH161" s="11"/>
      <c r="BI161" s="11"/>
      <c r="BJ161" s="11"/>
      <c r="BK161" s="11"/>
    </row>
    <row r="162" ht="15.75" customHeight="1">
      <c r="X162" s="37"/>
      <c r="Y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BD162" s="11"/>
      <c r="BE162" s="11"/>
      <c r="BF162" s="11"/>
      <c r="BG162" s="11"/>
      <c r="BH162" s="11"/>
      <c r="BI162" s="11"/>
      <c r="BJ162" s="11"/>
      <c r="BK162" s="11"/>
    </row>
    <row r="163" ht="15.75" customHeight="1">
      <c r="X163" s="37"/>
      <c r="Y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BD163" s="11"/>
      <c r="BE163" s="11"/>
      <c r="BF163" s="11"/>
      <c r="BG163" s="11"/>
      <c r="BH163" s="11"/>
      <c r="BI163" s="11"/>
      <c r="BJ163" s="11"/>
      <c r="BK163" s="11"/>
    </row>
    <row r="164" ht="15.75" customHeight="1">
      <c r="X164" s="37"/>
      <c r="Y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BD164" s="11"/>
      <c r="BE164" s="11"/>
      <c r="BF164" s="11"/>
      <c r="BG164" s="11"/>
      <c r="BH164" s="11"/>
      <c r="BI164" s="11"/>
      <c r="BJ164" s="11"/>
      <c r="BK164" s="11"/>
    </row>
    <row r="165" ht="15.75" customHeight="1">
      <c r="X165" s="37"/>
      <c r="Y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BD165" s="11"/>
      <c r="BE165" s="11"/>
      <c r="BF165" s="11"/>
      <c r="BG165" s="11"/>
      <c r="BH165" s="11"/>
      <c r="BI165" s="11"/>
      <c r="BJ165" s="11"/>
      <c r="BK165" s="11"/>
    </row>
    <row r="166" ht="15.75" customHeight="1">
      <c r="X166" s="37"/>
      <c r="Y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BD166" s="11"/>
      <c r="BE166" s="11"/>
      <c r="BF166" s="11"/>
      <c r="BG166" s="11"/>
      <c r="BH166" s="11"/>
      <c r="BI166" s="11"/>
      <c r="BJ166" s="11"/>
      <c r="BK166" s="11"/>
    </row>
    <row r="167" ht="15.75" customHeight="1">
      <c r="X167" s="37"/>
      <c r="Y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BD167" s="11"/>
      <c r="BE167" s="11"/>
      <c r="BF167" s="11"/>
      <c r="BG167" s="11"/>
      <c r="BH167" s="11"/>
      <c r="BI167" s="11"/>
      <c r="BJ167" s="11"/>
      <c r="BK167" s="11"/>
    </row>
    <row r="168" ht="15.75" customHeight="1">
      <c r="X168" s="37"/>
      <c r="Y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BD168" s="11"/>
      <c r="BE168" s="11"/>
      <c r="BF168" s="11"/>
      <c r="BG168" s="11"/>
      <c r="BH168" s="11"/>
      <c r="BI168" s="11"/>
      <c r="BJ168" s="11"/>
      <c r="BK168" s="11"/>
    </row>
    <row r="169" ht="15.75" customHeight="1">
      <c r="X169" s="37"/>
      <c r="Y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BD169" s="11"/>
      <c r="BE169" s="11"/>
      <c r="BF169" s="11"/>
      <c r="BG169" s="11"/>
      <c r="BH169" s="11"/>
      <c r="BI169" s="11"/>
      <c r="BJ169" s="11"/>
      <c r="BK169" s="11"/>
    </row>
    <row r="170" ht="15.75" customHeight="1">
      <c r="X170" s="37"/>
      <c r="Y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BD170" s="11"/>
      <c r="BE170" s="11"/>
      <c r="BF170" s="11"/>
      <c r="BG170" s="11"/>
      <c r="BH170" s="11"/>
      <c r="BI170" s="11"/>
      <c r="BJ170" s="11"/>
      <c r="BK170" s="11"/>
    </row>
    <row r="171" ht="15.75" customHeight="1">
      <c r="X171" s="37"/>
      <c r="Y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BD171" s="11"/>
      <c r="BE171" s="11"/>
      <c r="BF171" s="11"/>
      <c r="BG171" s="11"/>
      <c r="BH171" s="11"/>
      <c r="BI171" s="11"/>
      <c r="BJ171" s="11"/>
      <c r="BK171" s="11"/>
    </row>
    <row r="172" ht="15.75" customHeight="1">
      <c r="X172" s="37"/>
      <c r="Y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BD172" s="11"/>
      <c r="BE172" s="11"/>
      <c r="BF172" s="11"/>
      <c r="BG172" s="11"/>
      <c r="BH172" s="11"/>
      <c r="BI172" s="11"/>
      <c r="BJ172" s="11"/>
      <c r="BK172" s="11"/>
    </row>
    <row r="173" ht="15.75" customHeight="1">
      <c r="X173" s="37"/>
      <c r="Y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BD173" s="11"/>
      <c r="BE173" s="11"/>
      <c r="BF173" s="11"/>
      <c r="BG173" s="11"/>
      <c r="BH173" s="11"/>
      <c r="BI173" s="11"/>
      <c r="BJ173" s="11"/>
      <c r="BK173" s="11"/>
    </row>
    <row r="174" ht="15.75" customHeight="1">
      <c r="X174" s="37"/>
      <c r="Y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BD174" s="11"/>
      <c r="BE174" s="11"/>
      <c r="BF174" s="11"/>
      <c r="BG174" s="11"/>
      <c r="BH174" s="11"/>
      <c r="BI174" s="11"/>
      <c r="BJ174" s="11"/>
      <c r="BK174" s="11"/>
    </row>
    <row r="175" ht="15.75" customHeight="1">
      <c r="X175" s="37"/>
      <c r="Y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BD175" s="11"/>
      <c r="BE175" s="11"/>
      <c r="BF175" s="11"/>
      <c r="BG175" s="11"/>
      <c r="BH175" s="11"/>
      <c r="BI175" s="11"/>
      <c r="BJ175" s="11"/>
      <c r="BK175" s="11"/>
    </row>
    <row r="176" ht="15.75" customHeight="1">
      <c r="X176" s="37"/>
      <c r="Y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BD176" s="11"/>
      <c r="BE176" s="11"/>
      <c r="BF176" s="11"/>
      <c r="BG176" s="11"/>
      <c r="BH176" s="11"/>
      <c r="BI176" s="11"/>
      <c r="BJ176" s="11"/>
      <c r="BK176" s="11"/>
    </row>
    <row r="177" ht="15.75" customHeight="1">
      <c r="X177" s="37"/>
      <c r="Y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BD177" s="11"/>
      <c r="BE177" s="11"/>
      <c r="BF177" s="11"/>
      <c r="BG177" s="11"/>
      <c r="BH177" s="11"/>
      <c r="BI177" s="11"/>
      <c r="BJ177" s="11"/>
      <c r="BK177" s="11"/>
    </row>
    <row r="178" ht="15.75" customHeight="1">
      <c r="X178" s="37"/>
      <c r="Y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BD178" s="11"/>
      <c r="BE178" s="11"/>
      <c r="BF178" s="11"/>
      <c r="BG178" s="11"/>
      <c r="BH178" s="11"/>
      <c r="BI178" s="11"/>
      <c r="BJ178" s="11"/>
      <c r="BK178" s="11"/>
    </row>
    <row r="179" ht="15.75" customHeight="1">
      <c r="X179" s="37"/>
      <c r="Y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BD179" s="11"/>
      <c r="BE179" s="11"/>
      <c r="BF179" s="11"/>
      <c r="BG179" s="11"/>
      <c r="BH179" s="11"/>
      <c r="BI179" s="11"/>
      <c r="BJ179" s="11"/>
      <c r="BK179" s="11"/>
    </row>
    <row r="180" ht="15.75" customHeight="1">
      <c r="X180" s="37"/>
      <c r="Y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BD180" s="11"/>
      <c r="BE180" s="11"/>
      <c r="BF180" s="11"/>
      <c r="BG180" s="11"/>
      <c r="BH180" s="11"/>
      <c r="BI180" s="11"/>
      <c r="BJ180" s="11"/>
      <c r="BK180" s="11"/>
    </row>
    <row r="181" ht="15.75" customHeight="1">
      <c r="X181" s="37"/>
      <c r="Y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BD181" s="11"/>
      <c r="BE181" s="11"/>
      <c r="BF181" s="11"/>
      <c r="BG181" s="11"/>
      <c r="BH181" s="11"/>
      <c r="BI181" s="11"/>
      <c r="BJ181" s="11"/>
      <c r="BK181" s="11"/>
    </row>
    <row r="182" ht="15.75" customHeight="1">
      <c r="X182" s="37"/>
      <c r="Y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BD182" s="11"/>
      <c r="BE182" s="11"/>
      <c r="BF182" s="11"/>
      <c r="BG182" s="11"/>
      <c r="BH182" s="11"/>
      <c r="BI182" s="11"/>
      <c r="BJ182" s="11"/>
      <c r="BK182" s="11"/>
    </row>
    <row r="183" ht="15.75" customHeight="1">
      <c r="X183" s="37"/>
      <c r="Y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BD183" s="11"/>
      <c r="BE183" s="11"/>
      <c r="BF183" s="11"/>
      <c r="BG183" s="11"/>
      <c r="BH183" s="11"/>
      <c r="BI183" s="11"/>
      <c r="BJ183" s="11"/>
      <c r="BK183" s="11"/>
    </row>
    <row r="184" ht="15.75" customHeight="1">
      <c r="X184" s="37"/>
      <c r="Y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BD184" s="11"/>
      <c r="BE184" s="11"/>
      <c r="BF184" s="11"/>
      <c r="BG184" s="11"/>
      <c r="BH184" s="11"/>
      <c r="BI184" s="11"/>
      <c r="BJ184" s="11"/>
      <c r="BK184" s="11"/>
    </row>
    <row r="185" ht="15.75" customHeight="1">
      <c r="X185" s="37"/>
      <c r="Y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BD185" s="11"/>
      <c r="BE185" s="11"/>
      <c r="BF185" s="11"/>
      <c r="BG185" s="11"/>
      <c r="BH185" s="11"/>
      <c r="BI185" s="11"/>
      <c r="BJ185" s="11"/>
      <c r="BK185" s="11"/>
    </row>
    <row r="186" ht="15.75" customHeight="1">
      <c r="X186" s="37"/>
      <c r="Y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BD186" s="11"/>
      <c r="BE186" s="11"/>
      <c r="BF186" s="11"/>
      <c r="BG186" s="11"/>
      <c r="BH186" s="11"/>
      <c r="BI186" s="11"/>
      <c r="BJ186" s="11"/>
      <c r="BK186" s="11"/>
    </row>
    <row r="187" ht="15.75" customHeight="1">
      <c r="X187" s="37"/>
      <c r="Y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BD187" s="11"/>
      <c r="BE187" s="11"/>
      <c r="BF187" s="11"/>
      <c r="BG187" s="11"/>
      <c r="BH187" s="11"/>
      <c r="BI187" s="11"/>
      <c r="BJ187" s="11"/>
      <c r="BK187" s="11"/>
    </row>
    <row r="188" ht="15.75" customHeight="1">
      <c r="X188" s="37"/>
      <c r="Y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BD188" s="11"/>
      <c r="BE188" s="11"/>
      <c r="BF188" s="11"/>
      <c r="BG188" s="11"/>
      <c r="BH188" s="11"/>
      <c r="BI188" s="11"/>
      <c r="BJ188" s="11"/>
      <c r="BK188" s="11"/>
    </row>
    <row r="189" ht="15.75" customHeight="1">
      <c r="X189" s="37"/>
      <c r="Y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BD189" s="11"/>
      <c r="BE189" s="11"/>
      <c r="BF189" s="11"/>
      <c r="BG189" s="11"/>
      <c r="BH189" s="11"/>
      <c r="BI189" s="11"/>
      <c r="BJ189" s="11"/>
      <c r="BK189" s="11"/>
    </row>
    <row r="190" ht="15.75" customHeight="1">
      <c r="X190" s="37"/>
      <c r="Y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BD190" s="11"/>
      <c r="BE190" s="11"/>
      <c r="BF190" s="11"/>
      <c r="BG190" s="11"/>
      <c r="BH190" s="11"/>
      <c r="BI190" s="11"/>
      <c r="BJ190" s="11"/>
      <c r="BK190" s="11"/>
    </row>
    <row r="191" ht="15.75" customHeight="1">
      <c r="X191" s="37"/>
      <c r="Y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BD191" s="11"/>
      <c r="BE191" s="11"/>
      <c r="BF191" s="11"/>
      <c r="BG191" s="11"/>
      <c r="BH191" s="11"/>
      <c r="BI191" s="11"/>
      <c r="BJ191" s="11"/>
      <c r="BK191" s="11"/>
    </row>
    <row r="192" ht="15.75" customHeight="1">
      <c r="X192" s="37"/>
      <c r="Y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BD192" s="11"/>
      <c r="BE192" s="11"/>
      <c r="BF192" s="11"/>
      <c r="BG192" s="11"/>
      <c r="BH192" s="11"/>
      <c r="BI192" s="11"/>
      <c r="BJ192" s="11"/>
      <c r="BK192" s="11"/>
    </row>
    <row r="193" ht="15.75" customHeight="1">
      <c r="X193" s="37"/>
      <c r="Y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BD193" s="11"/>
      <c r="BE193" s="11"/>
      <c r="BF193" s="11"/>
      <c r="BG193" s="11"/>
      <c r="BH193" s="11"/>
      <c r="BI193" s="11"/>
      <c r="BJ193" s="11"/>
      <c r="BK193" s="11"/>
    </row>
    <row r="194" ht="15.75" customHeight="1">
      <c r="X194" s="37"/>
      <c r="Y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BD194" s="11"/>
      <c r="BE194" s="11"/>
      <c r="BF194" s="11"/>
      <c r="BG194" s="11"/>
      <c r="BH194" s="11"/>
      <c r="BI194" s="11"/>
      <c r="BJ194" s="11"/>
      <c r="BK194" s="11"/>
    </row>
    <row r="195" ht="15.75" customHeight="1">
      <c r="X195" s="37"/>
      <c r="Y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BD195" s="11"/>
      <c r="BE195" s="11"/>
      <c r="BF195" s="11"/>
      <c r="BG195" s="11"/>
      <c r="BH195" s="11"/>
      <c r="BI195" s="11"/>
      <c r="BJ195" s="11"/>
      <c r="BK195" s="11"/>
    </row>
    <row r="196" ht="15.75" customHeight="1">
      <c r="X196" s="37"/>
      <c r="Y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BD196" s="11"/>
      <c r="BE196" s="11"/>
      <c r="BF196" s="11"/>
      <c r="BG196" s="11"/>
      <c r="BH196" s="11"/>
      <c r="BI196" s="11"/>
      <c r="BJ196" s="11"/>
      <c r="BK196" s="11"/>
    </row>
    <row r="197" ht="15.75" customHeight="1">
      <c r="X197" s="37"/>
      <c r="Y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BD197" s="11"/>
      <c r="BE197" s="11"/>
      <c r="BF197" s="11"/>
      <c r="BG197" s="11"/>
      <c r="BH197" s="11"/>
      <c r="BI197" s="11"/>
      <c r="BJ197" s="11"/>
      <c r="BK197" s="11"/>
    </row>
    <row r="198" ht="15.75" customHeight="1">
      <c r="X198" s="37"/>
      <c r="Y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BD198" s="11"/>
      <c r="BE198" s="11"/>
      <c r="BF198" s="11"/>
      <c r="BG198" s="11"/>
      <c r="BH198" s="11"/>
      <c r="BI198" s="11"/>
      <c r="BJ198" s="11"/>
      <c r="BK198" s="11"/>
    </row>
    <row r="199" ht="15.75" customHeight="1">
      <c r="X199" s="37"/>
      <c r="Y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BD199" s="11"/>
      <c r="BE199" s="11"/>
      <c r="BF199" s="11"/>
      <c r="BG199" s="11"/>
      <c r="BH199" s="11"/>
      <c r="BI199" s="11"/>
      <c r="BJ199" s="11"/>
      <c r="BK199" s="11"/>
    </row>
    <row r="200" ht="15.75" customHeight="1">
      <c r="X200" s="37"/>
      <c r="Y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BD200" s="11"/>
      <c r="BE200" s="11"/>
      <c r="BF200" s="11"/>
      <c r="BG200" s="11"/>
      <c r="BH200" s="11"/>
      <c r="BI200" s="11"/>
      <c r="BJ200" s="11"/>
      <c r="BK200" s="11"/>
    </row>
    <row r="201" ht="15.75" customHeight="1">
      <c r="X201" s="37"/>
      <c r="Y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BD201" s="11"/>
      <c r="BE201" s="11"/>
      <c r="BF201" s="11"/>
      <c r="BG201" s="11"/>
      <c r="BH201" s="11"/>
      <c r="BI201" s="11"/>
      <c r="BJ201" s="11"/>
      <c r="BK201" s="11"/>
    </row>
    <row r="202" ht="15.75" customHeight="1">
      <c r="X202" s="37"/>
      <c r="Y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BD202" s="11"/>
      <c r="BE202" s="11"/>
      <c r="BF202" s="11"/>
      <c r="BG202" s="11"/>
      <c r="BH202" s="11"/>
      <c r="BI202" s="11"/>
      <c r="BJ202" s="11"/>
      <c r="BK202" s="11"/>
    </row>
    <row r="203" ht="15.75" customHeight="1">
      <c r="X203" s="37"/>
      <c r="Y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BD203" s="11"/>
      <c r="BE203" s="11"/>
      <c r="BF203" s="11"/>
      <c r="BG203" s="11"/>
      <c r="BH203" s="11"/>
      <c r="BI203" s="11"/>
      <c r="BJ203" s="11"/>
      <c r="BK203" s="11"/>
    </row>
    <row r="204" ht="15.75" customHeight="1">
      <c r="X204" s="37"/>
      <c r="Y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BD204" s="11"/>
      <c r="BE204" s="11"/>
      <c r="BF204" s="11"/>
      <c r="BG204" s="11"/>
      <c r="BH204" s="11"/>
      <c r="BI204" s="11"/>
      <c r="BJ204" s="11"/>
      <c r="BK204" s="11"/>
    </row>
    <row r="205" ht="15.75" customHeight="1">
      <c r="X205" s="37"/>
      <c r="Y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BD205" s="11"/>
      <c r="BE205" s="11"/>
      <c r="BF205" s="11"/>
      <c r="BG205" s="11"/>
      <c r="BH205" s="11"/>
      <c r="BI205" s="11"/>
      <c r="BJ205" s="11"/>
      <c r="BK205" s="11"/>
    </row>
    <row r="206" ht="15.75" customHeight="1">
      <c r="X206" s="37"/>
      <c r="Y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BD206" s="11"/>
      <c r="BE206" s="11"/>
      <c r="BF206" s="11"/>
      <c r="BG206" s="11"/>
      <c r="BH206" s="11"/>
      <c r="BI206" s="11"/>
      <c r="BJ206" s="11"/>
      <c r="BK206" s="11"/>
    </row>
    <row r="207" ht="15.75" customHeight="1">
      <c r="X207" s="37"/>
      <c r="Y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BD207" s="11"/>
      <c r="BE207" s="11"/>
      <c r="BF207" s="11"/>
      <c r="BG207" s="11"/>
      <c r="BH207" s="11"/>
      <c r="BI207" s="11"/>
      <c r="BJ207" s="11"/>
      <c r="BK207" s="11"/>
    </row>
    <row r="208" ht="15.75" customHeight="1">
      <c r="X208" s="37"/>
      <c r="Y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BD208" s="11"/>
      <c r="BE208" s="11"/>
      <c r="BF208" s="11"/>
      <c r="BG208" s="11"/>
      <c r="BH208" s="11"/>
      <c r="BI208" s="11"/>
      <c r="BJ208" s="11"/>
      <c r="BK208" s="11"/>
    </row>
    <row r="209" ht="15.75" customHeight="1">
      <c r="X209" s="37"/>
      <c r="Y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BD209" s="11"/>
      <c r="BE209" s="11"/>
      <c r="BF209" s="11"/>
      <c r="BG209" s="11"/>
      <c r="BH209" s="11"/>
      <c r="BI209" s="11"/>
      <c r="BJ209" s="11"/>
      <c r="BK209" s="11"/>
    </row>
    <row r="210" ht="15.75" customHeight="1">
      <c r="X210" s="37"/>
      <c r="Y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BD210" s="11"/>
      <c r="BE210" s="11"/>
      <c r="BF210" s="11"/>
      <c r="BG210" s="11"/>
      <c r="BH210" s="11"/>
      <c r="BI210" s="11"/>
      <c r="BJ210" s="11"/>
      <c r="BK210" s="11"/>
    </row>
    <row r="211" ht="15.75" customHeight="1">
      <c r="X211" s="37"/>
      <c r="Y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BD211" s="11"/>
      <c r="BE211" s="11"/>
      <c r="BF211" s="11"/>
      <c r="BG211" s="11"/>
      <c r="BH211" s="11"/>
      <c r="BI211" s="11"/>
      <c r="BJ211" s="11"/>
      <c r="BK211" s="11"/>
    </row>
    <row r="212" ht="15.75" customHeight="1">
      <c r="X212" s="37"/>
      <c r="Y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BD212" s="11"/>
      <c r="BE212" s="11"/>
      <c r="BF212" s="11"/>
      <c r="BG212" s="11"/>
      <c r="BH212" s="11"/>
      <c r="BI212" s="11"/>
      <c r="BJ212" s="11"/>
      <c r="BK212" s="11"/>
    </row>
    <row r="213" ht="15.75" customHeight="1">
      <c r="X213" s="37"/>
      <c r="Y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BD213" s="11"/>
      <c r="BE213" s="11"/>
      <c r="BF213" s="11"/>
      <c r="BG213" s="11"/>
      <c r="BH213" s="11"/>
      <c r="BI213" s="11"/>
      <c r="BJ213" s="11"/>
      <c r="BK213" s="11"/>
    </row>
    <row r="214" ht="15.75" customHeight="1">
      <c r="X214" s="37"/>
      <c r="Y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BD214" s="11"/>
      <c r="BE214" s="11"/>
      <c r="BF214" s="11"/>
      <c r="BG214" s="11"/>
      <c r="BH214" s="11"/>
      <c r="BI214" s="11"/>
      <c r="BJ214" s="11"/>
      <c r="BK214" s="11"/>
    </row>
    <row r="215" ht="15.75" customHeight="1">
      <c r="X215" s="37"/>
      <c r="Y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BD215" s="11"/>
      <c r="BE215" s="11"/>
      <c r="BF215" s="11"/>
      <c r="BG215" s="11"/>
      <c r="BH215" s="11"/>
      <c r="BI215" s="11"/>
      <c r="BJ215" s="11"/>
      <c r="BK215" s="11"/>
    </row>
    <row r="216" ht="15.75" customHeight="1">
      <c r="X216" s="37"/>
      <c r="Y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BD216" s="11"/>
      <c r="BE216" s="11"/>
      <c r="BF216" s="11"/>
      <c r="BG216" s="11"/>
      <c r="BH216" s="11"/>
      <c r="BI216" s="11"/>
      <c r="BJ216" s="11"/>
      <c r="BK216" s="11"/>
    </row>
    <row r="217" ht="15.75" customHeight="1">
      <c r="X217" s="37"/>
      <c r="Y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BD217" s="11"/>
      <c r="BE217" s="11"/>
      <c r="BF217" s="11"/>
      <c r="BG217" s="11"/>
      <c r="BH217" s="11"/>
      <c r="BI217" s="11"/>
      <c r="BJ217" s="11"/>
      <c r="BK217" s="11"/>
    </row>
    <row r="218" ht="15.75" customHeight="1">
      <c r="X218" s="37"/>
      <c r="Y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BD218" s="11"/>
      <c r="BE218" s="11"/>
      <c r="BF218" s="11"/>
      <c r="BG218" s="11"/>
      <c r="BH218" s="11"/>
      <c r="BI218" s="11"/>
      <c r="BJ218" s="11"/>
      <c r="BK218" s="11"/>
    </row>
    <row r="219" ht="15.75" customHeight="1">
      <c r="X219" s="37"/>
      <c r="Y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BD219" s="11"/>
      <c r="BE219" s="11"/>
      <c r="BF219" s="11"/>
      <c r="BG219" s="11"/>
      <c r="BH219" s="11"/>
      <c r="BI219" s="11"/>
      <c r="BJ219" s="11"/>
      <c r="BK219" s="11"/>
    </row>
    <row r="220" ht="15.75" customHeight="1">
      <c r="X220" s="37"/>
      <c r="Y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BD220" s="11"/>
      <c r="BE220" s="11"/>
      <c r="BF220" s="11"/>
      <c r="BG220" s="11"/>
      <c r="BH220" s="11"/>
      <c r="BI220" s="11"/>
      <c r="BJ220" s="11"/>
      <c r="BK220" s="11"/>
    </row>
    <row r="221" ht="15.75" customHeight="1">
      <c r="X221" s="37"/>
      <c r="Y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BD221" s="11"/>
      <c r="BE221" s="11"/>
      <c r="BF221" s="11"/>
      <c r="BG221" s="11"/>
      <c r="BH221" s="11"/>
      <c r="BI221" s="11"/>
      <c r="BJ221" s="11"/>
      <c r="BK221" s="11"/>
    </row>
    <row r="222" ht="15.75" customHeight="1">
      <c r="X222" s="37"/>
      <c r="Y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BD222" s="11"/>
      <c r="BE222" s="11"/>
      <c r="BF222" s="11"/>
      <c r="BG222" s="11"/>
      <c r="BH222" s="11"/>
      <c r="BI222" s="11"/>
      <c r="BJ222" s="11"/>
      <c r="BK222" s="11"/>
    </row>
    <row r="223" ht="15.75" customHeight="1">
      <c r="X223" s="37"/>
      <c r="Y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BD223" s="11"/>
      <c r="BE223" s="11"/>
      <c r="BF223" s="11"/>
      <c r="BG223" s="11"/>
      <c r="BH223" s="11"/>
      <c r="BI223" s="11"/>
      <c r="BJ223" s="11"/>
      <c r="BK223" s="11"/>
    </row>
    <row r="224" ht="15.75" customHeight="1">
      <c r="X224" s="37"/>
      <c r="Y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BD224" s="11"/>
      <c r="BE224" s="11"/>
      <c r="BF224" s="11"/>
      <c r="BG224" s="11"/>
      <c r="BH224" s="11"/>
      <c r="BI224" s="11"/>
      <c r="BJ224" s="11"/>
      <c r="BK224" s="11"/>
    </row>
    <row r="225" ht="15.75" customHeight="1">
      <c r="X225" s="37"/>
      <c r="Y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BD225" s="11"/>
      <c r="BE225" s="11"/>
      <c r="BF225" s="11"/>
      <c r="BG225" s="11"/>
      <c r="BH225" s="11"/>
      <c r="BI225" s="11"/>
      <c r="BJ225" s="11"/>
      <c r="BK225" s="11"/>
    </row>
    <row r="226" ht="15.75" customHeight="1">
      <c r="X226" s="37"/>
      <c r="Y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BD226" s="11"/>
      <c r="BE226" s="11"/>
      <c r="BF226" s="11"/>
      <c r="BG226" s="11"/>
      <c r="BH226" s="11"/>
      <c r="BI226" s="11"/>
      <c r="BJ226" s="11"/>
      <c r="BK226" s="11"/>
    </row>
    <row r="227" ht="15.75" customHeight="1">
      <c r="X227" s="37"/>
      <c r="Y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BD227" s="11"/>
      <c r="BE227" s="11"/>
      <c r="BF227" s="11"/>
      <c r="BG227" s="11"/>
      <c r="BH227" s="11"/>
      <c r="BI227" s="11"/>
      <c r="BJ227" s="11"/>
      <c r="BK227" s="11"/>
    </row>
    <row r="228" ht="15.75" customHeight="1">
      <c r="X228" s="37"/>
      <c r="Y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BD228" s="11"/>
      <c r="BE228" s="11"/>
      <c r="BF228" s="11"/>
      <c r="BG228" s="11"/>
      <c r="BH228" s="11"/>
      <c r="BI228" s="11"/>
      <c r="BJ228" s="11"/>
      <c r="BK228" s="11"/>
    </row>
    <row r="229" ht="15.75" customHeight="1">
      <c r="X229" s="37"/>
      <c r="Y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BD229" s="11"/>
      <c r="BE229" s="11"/>
      <c r="BF229" s="11"/>
      <c r="BG229" s="11"/>
      <c r="BH229" s="11"/>
      <c r="BI229" s="11"/>
      <c r="BJ229" s="11"/>
      <c r="BK229" s="11"/>
    </row>
    <row r="230" ht="15.75" customHeight="1">
      <c r="X230" s="37"/>
      <c r="Y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BD230" s="11"/>
      <c r="BE230" s="11"/>
      <c r="BF230" s="11"/>
      <c r="BG230" s="11"/>
      <c r="BH230" s="11"/>
      <c r="BI230" s="11"/>
      <c r="BJ230" s="11"/>
      <c r="BK230" s="11"/>
    </row>
    <row r="231" ht="15.75" customHeight="1">
      <c r="X231" s="37"/>
      <c r="Y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BD231" s="11"/>
      <c r="BE231" s="11"/>
      <c r="BF231" s="11"/>
      <c r="BG231" s="11"/>
      <c r="BH231" s="11"/>
      <c r="BI231" s="11"/>
      <c r="BJ231" s="11"/>
      <c r="BK231" s="11"/>
    </row>
    <row r="232" ht="15.75" customHeight="1">
      <c r="X232" s="37"/>
      <c r="Y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BD232" s="11"/>
      <c r="BE232" s="11"/>
      <c r="BF232" s="11"/>
      <c r="BG232" s="11"/>
      <c r="BH232" s="11"/>
      <c r="BI232" s="11"/>
      <c r="BJ232" s="11"/>
      <c r="BK232" s="11"/>
    </row>
    <row r="233" ht="15.75" customHeight="1">
      <c r="X233" s="37"/>
      <c r="Y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BD233" s="11"/>
      <c r="BE233" s="11"/>
      <c r="BF233" s="11"/>
      <c r="BG233" s="11"/>
      <c r="BH233" s="11"/>
      <c r="BI233" s="11"/>
      <c r="BJ233" s="11"/>
      <c r="BK233" s="11"/>
    </row>
    <row r="234" ht="15.75" customHeight="1">
      <c r="X234" s="37"/>
      <c r="Y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BD234" s="11"/>
      <c r="BE234" s="11"/>
      <c r="BF234" s="11"/>
      <c r="BG234" s="11"/>
      <c r="BH234" s="11"/>
      <c r="BI234" s="11"/>
      <c r="BJ234" s="11"/>
      <c r="BK234" s="11"/>
    </row>
    <row r="235" ht="15.75" customHeight="1">
      <c r="X235" s="37"/>
      <c r="Y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BD235" s="11"/>
      <c r="BE235" s="11"/>
      <c r="BF235" s="11"/>
      <c r="BG235" s="11"/>
      <c r="BH235" s="11"/>
      <c r="BI235" s="11"/>
      <c r="BJ235" s="11"/>
      <c r="BK235" s="11"/>
    </row>
    <row r="236" ht="15.75" customHeight="1">
      <c r="X236" s="37"/>
      <c r="Y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BD236" s="11"/>
      <c r="BE236" s="11"/>
      <c r="BF236" s="11"/>
      <c r="BG236" s="11"/>
      <c r="BH236" s="11"/>
      <c r="BI236" s="11"/>
      <c r="BJ236" s="11"/>
      <c r="BK236" s="11"/>
    </row>
    <row r="237" ht="15.75" customHeight="1">
      <c r="X237" s="37"/>
      <c r="Y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BD237" s="11"/>
      <c r="BE237" s="11"/>
      <c r="BF237" s="11"/>
      <c r="BG237" s="11"/>
      <c r="BH237" s="11"/>
      <c r="BI237" s="11"/>
      <c r="BJ237" s="11"/>
      <c r="BK237" s="11"/>
    </row>
    <row r="238" ht="15.75" customHeight="1">
      <c r="X238" s="37"/>
      <c r="Y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BD238" s="11"/>
      <c r="BE238" s="11"/>
      <c r="BF238" s="11"/>
      <c r="BG238" s="11"/>
      <c r="BH238" s="11"/>
      <c r="BI238" s="11"/>
      <c r="BJ238" s="11"/>
      <c r="BK238" s="11"/>
    </row>
    <row r="239" ht="15.75" customHeight="1">
      <c r="X239" s="37"/>
      <c r="Y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BD239" s="11"/>
      <c r="BE239" s="11"/>
      <c r="BF239" s="11"/>
      <c r="BG239" s="11"/>
      <c r="BH239" s="11"/>
      <c r="BI239" s="11"/>
      <c r="BJ239" s="11"/>
      <c r="BK239" s="11"/>
    </row>
    <row r="240" ht="15.75" customHeight="1">
      <c r="X240" s="37"/>
      <c r="Y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BD240" s="11"/>
      <c r="BE240" s="11"/>
      <c r="BF240" s="11"/>
      <c r="BG240" s="11"/>
      <c r="BH240" s="11"/>
      <c r="BI240" s="11"/>
      <c r="BJ240" s="11"/>
      <c r="BK240" s="11"/>
    </row>
    <row r="241" ht="15.75" customHeight="1">
      <c r="X241" s="37"/>
      <c r="Y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BD241" s="11"/>
      <c r="BE241" s="11"/>
      <c r="BF241" s="11"/>
      <c r="BG241" s="11"/>
      <c r="BH241" s="11"/>
      <c r="BI241" s="11"/>
      <c r="BJ241" s="11"/>
      <c r="BK241" s="11"/>
    </row>
    <row r="242" ht="15.75" customHeight="1">
      <c r="X242" s="37"/>
      <c r="Y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BD242" s="11"/>
      <c r="BE242" s="11"/>
      <c r="BF242" s="11"/>
      <c r="BG242" s="11"/>
      <c r="BH242" s="11"/>
      <c r="BI242" s="11"/>
      <c r="BJ242" s="11"/>
      <c r="BK242" s="11"/>
    </row>
    <row r="243" ht="15.75" customHeight="1">
      <c r="X243" s="37"/>
      <c r="Y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BD243" s="11"/>
      <c r="BE243" s="11"/>
      <c r="BF243" s="11"/>
      <c r="BG243" s="11"/>
      <c r="BH243" s="11"/>
      <c r="BI243" s="11"/>
      <c r="BJ243" s="11"/>
      <c r="BK243" s="11"/>
    </row>
    <row r="244" ht="15.75" customHeight="1">
      <c r="X244" s="37"/>
      <c r="Y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BD244" s="11"/>
      <c r="BE244" s="11"/>
      <c r="BF244" s="11"/>
      <c r="BG244" s="11"/>
      <c r="BH244" s="11"/>
      <c r="BI244" s="11"/>
      <c r="BJ244" s="11"/>
      <c r="BK244" s="11"/>
    </row>
    <row r="245" ht="15.75" customHeight="1">
      <c r="X245" s="37"/>
      <c r="Y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BD245" s="11"/>
      <c r="BE245" s="11"/>
      <c r="BF245" s="11"/>
      <c r="BG245" s="11"/>
      <c r="BH245" s="11"/>
      <c r="BI245" s="11"/>
      <c r="BJ245" s="11"/>
      <c r="BK245" s="11"/>
    </row>
    <row r="246" ht="15.75" customHeight="1">
      <c r="X246" s="37"/>
      <c r="Y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BD246" s="11"/>
      <c r="BE246" s="11"/>
      <c r="BF246" s="11"/>
      <c r="BG246" s="11"/>
      <c r="BH246" s="11"/>
      <c r="BI246" s="11"/>
      <c r="BJ246" s="11"/>
      <c r="BK246" s="11"/>
    </row>
    <row r="247" ht="15.75" customHeight="1">
      <c r="X247" s="37"/>
      <c r="Y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BD247" s="11"/>
      <c r="BE247" s="11"/>
      <c r="BF247" s="11"/>
      <c r="BG247" s="11"/>
      <c r="BH247" s="11"/>
      <c r="BI247" s="11"/>
      <c r="BJ247" s="11"/>
      <c r="BK247" s="11"/>
    </row>
    <row r="248" ht="15.75" customHeight="1">
      <c r="X248" s="37"/>
      <c r="Y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BD248" s="11"/>
      <c r="BE248" s="11"/>
      <c r="BF248" s="11"/>
      <c r="BG248" s="11"/>
      <c r="BH248" s="11"/>
      <c r="BI248" s="11"/>
      <c r="BJ248" s="11"/>
      <c r="BK248" s="11"/>
    </row>
    <row r="249" ht="15.75" customHeight="1">
      <c r="X249" s="37"/>
      <c r="Y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BD249" s="11"/>
      <c r="BE249" s="11"/>
      <c r="BF249" s="11"/>
      <c r="BG249" s="11"/>
      <c r="BH249" s="11"/>
      <c r="BI249" s="11"/>
      <c r="BJ249" s="11"/>
      <c r="BK249" s="11"/>
    </row>
    <row r="250" ht="15.75" customHeight="1">
      <c r="X250" s="37"/>
      <c r="Y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BD250" s="11"/>
      <c r="BE250" s="11"/>
      <c r="BF250" s="11"/>
      <c r="BG250" s="11"/>
      <c r="BH250" s="11"/>
      <c r="BI250" s="11"/>
      <c r="BJ250" s="11"/>
      <c r="BK250" s="11"/>
    </row>
    <row r="251" ht="15.75" customHeight="1">
      <c r="X251" s="37"/>
      <c r="Y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BD251" s="11"/>
      <c r="BE251" s="11"/>
      <c r="BF251" s="11"/>
      <c r="BG251" s="11"/>
      <c r="BH251" s="11"/>
      <c r="BI251" s="11"/>
      <c r="BJ251" s="11"/>
      <c r="BK251" s="11"/>
    </row>
    <row r="252" ht="15.75" customHeight="1">
      <c r="X252" s="37"/>
      <c r="Y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BD252" s="11"/>
      <c r="BE252" s="11"/>
      <c r="BF252" s="11"/>
      <c r="BG252" s="11"/>
      <c r="BH252" s="11"/>
      <c r="BI252" s="11"/>
      <c r="BJ252" s="11"/>
      <c r="BK252" s="11"/>
    </row>
    <row r="253" ht="15.75" customHeight="1">
      <c r="X253" s="37"/>
      <c r="Y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BD253" s="11"/>
      <c r="BE253" s="11"/>
      <c r="BF253" s="11"/>
      <c r="BG253" s="11"/>
      <c r="BH253" s="11"/>
      <c r="BI253" s="11"/>
      <c r="BJ253" s="11"/>
      <c r="BK253" s="11"/>
    </row>
    <row r="254" ht="15.75" customHeight="1">
      <c r="X254" s="37"/>
      <c r="Y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BD254" s="11"/>
      <c r="BE254" s="11"/>
      <c r="BF254" s="11"/>
      <c r="BG254" s="11"/>
      <c r="BH254" s="11"/>
      <c r="BI254" s="11"/>
      <c r="BJ254" s="11"/>
      <c r="BK254" s="11"/>
    </row>
    <row r="255" ht="15.75" customHeight="1">
      <c r="X255" s="37"/>
      <c r="Y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BD255" s="11"/>
      <c r="BE255" s="11"/>
      <c r="BF255" s="11"/>
      <c r="BG255" s="11"/>
      <c r="BH255" s="11"/>
      <c r="BI255" s="11"/>
      <c r="BJ255" s="11"/>
      <c r="BK255" s="11"/>
    </row>
    <row r="256" ht="15.75" customHeight="1">
      <c r="X256" s="37"/>
      <c r="Y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BD256" s="11"/>
      <c r="BE256" s="11"/>
      <c r="BF256" s="11"/>
      <c r="BG256" s="11"/>
      <c r="BH256" s="11"/>
      <c r="BI256" s="11"/>
      <c r="BJ256" s="11"/>
      <c r="BK256" s="11"/>
    </row>
    <row r="257" ht="15.75" customHeight="1">
      <c r="X257" s="37"/>
      <c r="Y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BD257" s="11"/>
      <c r="BE257" s="11"/>
      <c r="BF257" s="11"/>
      <c r="BG257" s="11"/>
      <c r="BH257" s="11"/>
      <c r="BI257" s="11"/>
      <c r="BJ257" s="11"/>
      <c r="BK257" s="11"/>
    </row>
    <row r="258" ht="15.75" customHeight="1">
      <c r="X258" s="37"/>
      <c r="Y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BD258" s="11"/>
      <c r="BE258" s="11"/>
      <c r="BF258" s="11"/>
      <c r="BG258" s="11"/>
      <c r="BH258" s="11"/>
      <c r="BI258" s="11"/>
      <c r="BJ258" s="11"/>
      <c r="BK258" s="11"/>
    </row>
    <row r="259" ht="15.75" customHeight="1">
      <c r="X259" s="37"/>
      <c r="Y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BD259" s="11"/>
      <c r="BE259" s="11"/>
      <c r="BF259" s="11"/>
      <c r="BG259" s="11"/>
      <c r="BH259" s="11"/>
      <c r="BI259" s="11"/>
      <c r="BJ259" s="11"/>
      <c r="BK259" s="11"/>
    </row>
    <row r="260" ht="15.75" customHeight="1">
      <c r="X260" s="37"/>
      <c r="Y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BD260" s="11"/>
      <c r="BE260" s="11"/>
      <c r="BF260" s="11"/>
      <c r="BG260" s="11"/>
      <c r="BH260" s="11"/>
      <c r="BI260" s="11"/>
      <c r="BJ260" s="11"/>
      <c r="BK260" s="11"/>
    </row>
    <row r="261" ht="15.75" customHeight="1">
      <c r="X261" s="37"/>
      <c r="Y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BD261" s="11"/>
      <c r="BE261" s="11"/>
      <c r="BF261" s="11"/>
      <c r="BG261" s="11"/>
      <c r="BH261" s="11"/>
      <c r="BI261" s="11"/>
      <c r="BJ261" s="11"/>
      <c r="BK261" s="11"/>
    </row>
    <row r="262" ht="15.75" customHeight="1">
      <c r="X262" s="37"/>
      <c r="Y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BD262" s="11"/>
      <c r="BE262" s="11"/>
      <c r="BF262" s="11"/>
      <c r="BG262" s="11"/>
      <c r="BH262" s="11"/>
      <c r="BI262" s="11"/>
      <c r="BJ262" s="11"/>
      <c r="BK262" s="11"/>
    </row>
    <row r="263" ht="15.75" customHeight="1">
      <c r="X263" s="37"/>
      <c r="Y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BD263" s="11"/>
      <c r="BE263" s="11"/>
      <c r="BF263" s="11"/>
      <c r="BG263" s="11"/>
      <c r="BH263" s="11"/>
      <c r="BI263" s="11"/>
      <c r="BJ263" s="11"/>
      <c r="BK263" s="11"/>
    </row>
    <row r="264" ht="15.75" customHeight="1">
      <c r="X264" s="37"/>
      <c r="Y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BD264" s="11"/>
      <c r="BE264" s="11"/>
      <c r="BF264" s="11"/>
      <c r="BG264" s="11"/>
      <c r="BH264" s="11"/>
      <c r="BI264" s="11"/>
      <c r="BJ264" s="11"/>
      <c r="BK264" s="11"/>
    </row>
    <row r="265" ht="15.75" customHeight="1">
      <c r="X265" s="37"/>
      <c r="Y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BD265" s="11"/>
      <c r="BE265" s="11"/>
      <c r="BF265" s="11"/>
      <c r="BG265" s="11"/>
      <c r="BH265" s="11"/>
      <c r="BI265" s="11"/>
      <c r="BJ265" s="11"/>
      <c r="BK265" s="11"/>
    </row>
    <row r="266" ht="15.75" customHeight="1">
      <c r="X266" s="37"/>
      <c r="Y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BD266" s="11"/>
      <c r="BE266" s="11"/>
      <c r="BF266" s="11"/>
      <c r="BG266" s="11"/>
      <c r="BH266" s="11"/>
      <c r="BI266" s="11"/>
      <c r="BJ266" s="11"/>
      <c r="BK266" s="11"/>
    </row>
    <row r="267" ht="15.75" customHeight="1">
      <c r="X267" s="37"/>
      <c r="Y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BD267" s="11"/>
      <c r="BE267" s="11"/>
      <c r="BF267" s="11"/>
      <c r="BG267" s="11"/>
      <c r="BH267" s="11"/>
      <c r="BI267" s="11"/>
      <c r="BJ267" s="11"/>
      <c r="BK267" s="11"/>
    </row>
    <row r="268" ht="15.75" customHeight="1">
      <c r="X268" s="37"/>
      <c r="Y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BD268" s="11"/>
      <c r="BE268" s="11"/>
      <c r="BF268" s="11"/>
      <c r="BG268" s="11"/>
      <c r="BH268" s="11"/>
      <c r="BI268" s="11"/>
      <c r="BJ268" s="11"/>
      <c r="BK268" s="11"/>
    </row>
    <row r="269" ht="15.75" customHeight="1">
      <c r="X269" s="37"/>
      <c r="Y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BD269" s="11"/>
      <c r="BE269" s="11"/>
      <c r="BF269" s="11"/>
      <c r="BG269" s="11"/>
      <c r="BH269" s="11"/>
      <c r="BI269" s="11"/>
      <c r="BJ269" s="11"/>
      <c r="BK269" s="11"/>
    </row>
    <row r="270" ht="15.75" customHeight="1">
      <c r="X270" s="37"/>
      <c r="Y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BD270" s="11"/>
      <c r="BE270" s="11"/>
      <c r="BF270" s="11"/>
      <c r="BG270" s="11"/>
      <c r="BH270" s="11"/>
      <c r="BI270" s="11"/>
      <c r="BJ270" s="11"/>
      <c r="BK270" s="11"/>
    </row>
    <row r="271" ht="15.75" customHeight="1">
      <c r="X271" s="37"/>
      <c r="Y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BD271" s="11"/>
      <c r="BE271" s="11"/>
      <c r="BF271" s="11"/>
      <c r="BG271" s="11"/>
      <c r="BH271" s="11"/>
      <c r="BI271" s="11"/>
      <c r="BJ271" s="11"/>
      <c r="BK271" s="11"/>
    </row>
    <row r="272" ht="15.75" customHeight="1">
      <c r="X272" s="37"/>
      <c r="Y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BD272" s="11"/>
      <c r="BE272" s="11"/>
      <c r="BF272" s="11"/>
      <c r="BG272" s="11"/>
      <c r="BH272" s="11"/>
      <c r="BI272" s="11"/>
      <c r="BJ272" s="11"/>
      <c r="BK272" s="11"/>
    </row>
    <row r="273" ht="15.75" customHeight="1">
      <c r="X273" s="37"/>
      <c r="Y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BD273" s="11"/>
      <c r="BE273" s="11"/>
      <c r="BF273" s="11"/>
      <c r="BG273" s="11"/>
      <c r="BH273" s="11"/>
      <c r="BI273" s="11"/>
      <c r="BJ273" s="11"/>
      <c r="BK273" s="11"/>
    </row>
    <row r="274" ht="15.75" customHeight="1">
      <c r="X274" s="37"/>
      <c r="Y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BD274" s="11"/>
      <c r="BE274" s="11"/>
      <c r="BF274" s="11"/>
      <c r="BG274" s="11"/>
      <c r="BH274" s="11"/>
      <c r="BI274" s="11"/>
      <c r="BJ274" s="11"/>
      <c r="BK274" s="11"/>
    </row>
    <row r="275" ht="15.75" customHeight="1">
      <c r="X275" s="37"/>
      <c r="Y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BD275" s="11"/>
      <c r="BE275" s="11"/>
      <c r="BF275" s="11"/>
      <c r="BG275" s="11"/>
      <c r="BH275" s="11"/>
      <c r="BI275" s="11"/>
      <c r="BJ275" s="11"/>
      <c r="BK275" s="11"/>
    </row>
    <row r="276" ht="15.75" customHeight="1">
      <c r="X276" s="37"/>
      <c r="Y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BD276" s="11"/>
      <c r="BE276" s="11"/>
      <c r="BF276" s="11"/>
      <c r="BG276" s="11"/>
      <c r="BH276" s="11"/>
      <c r="BI276" s="11"/>
      <c r="BJ276" s="11"/>
      <c r="BK276" s="11"/>
    </row>
    <row r="277" ht="15.75" customHeight="1">
      <c r="X277" s="37"/>
      <c r="Y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BD277" s="11"/>
      <c r="BE277" s="11"/>
      <c r="BF277" s="11"/>
      <c r="BG277" s="11"/>
      <c r="BH277" s="11"/>
      <c r="BI277" s="11"/>
      <c r="BJ277" s="11"/>
      <c r="BK277" s="11"/>
    </row>
    <row r="278" ht="15.75" customHeight="1">
      <c r="X278" s="37"/>
      <c r="Y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BD278" s="11"/>
      <c r="BE278" s="11"/>
      <c r="BF278" s="11"/>
      <c r="BG278" s="11"/>
      <c r="BH278" s="11"/>
      <c r="BI278" s="11"/>
      <c r="BJ278" s="11"/>
      <c r="BK278" s="11"/>
    </row>
    <row r="279" ht="15.75" customHeight="1">
      <c r="X279" s="37"/>
      <c r="Y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BD279" s="11"/>
      <c r="BE279" s="11"/>
      <c r="BF279" s="11"/>
      <c r="BG279" s="11"/>
      <c r="BH279" s="11"/>
      <c r="BI279" s="11"/>
      <c r="BJ279" s="11"/>
      <c r="BK279" s="11"/>
    </row>
    <row r="280" ht="15.75" customHeight="1">
      <c r="X280" s="37"/>
      <c r="Y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BD280" s="11"/>
      <c r="BE280" s="11"/>
      <c r="BF280" s="11"/>
      <c r="BG280" s="11"/>
      <c r="BH280" s="11"/>
      <c r="BI280" s="11"/>
      <c r="BJ280" s="11"/>
      <c r="BK280" s="11"/>
    </row>
    <row r="281" ht="15.75" customHeight="1">
      <c r="X281" s="37"/>
      <c r="Y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BD281" s="11"/>
      <c r="BE281" s="11"/>
      <c r="BF281" s="11"/>
      <c r="BG281" s="11"/>
      <c r="BH281" s="11"/>
      <c r="BI281" s="11"/>
      <c r="BJ281" s="11"/>
      <c r="BK281" s="11"/>
    </row>
    <row r="282" ht="15.75" customHeight="1">
      <c r="X282" s="37"/>
      <c r="Y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BD282" s="11"/>
      <c r="BE282" s="11"/>
      <c r="BF282" s="11"/>
      <c r="BG282" s="11"/>
      <c r="BH282" s="11"/>
      <c r="BI282" s="11"/>
      <c r="BJ282" s="11"/>
      <c r="BK282" s="11"/>
    </row>
    <row r="283" ht="15.75" customHeight="1">
      <c r="X283" s="37"/>
      <c r="Y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BD283" s="11"/>
      <c r="BE283" s="11"/>
      <c r="BF283" s="11"/>
      <c r="BG283" s="11"/>
      <c r="BH283" s="11"/>
      <c r="BI283" s="11"/>
      <c r="BJ283" s="11"/>
      <c r="BK283" s="11"/>
    </row>
    <row r="284" ht="15.75" customHeight="1">
      <c r="X284" s="37"/>
      <c r="Y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BD284" s="11"/>
      <c r="BE284" s="11"/>
      <c r="BF284" s="11"/>
      <c r="BG284" s="11"/>
      <c r="BH284" s="11"/>
      <c r="BI284" s="11"/>
      <c r="BJ284" s="11"/>
      <c r="BK284" s="11"/>
    </row>
    <row r="285" ht="15.75" customHeight="1">
      <c r="X285" s="37"/>
      <c r="Y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BD285" s="11"/>
      <c r="BE285" s="11"/>
      <c r="BF285" s="11"/>
      <c r="BG285" s="11"/>
      <c r="BH285" s="11"/>
      <c r="BI285" s="11"/>
      <c r="BJ285" s="11"/>
      <c r="BK285" s="11"/>
    </row>
    <row r="286" ht="15.75" customHeight="1">
      <c r="X286" s="37"/>
      <c r="Y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BD286" s="11"/>
      <c r="BE286" s="11"/>
      <c r="BF286" s="11"/>
      <c r="BG286" s="11"/>
      <c r="BH286" s="11"/>
      <c r="BI286" s="11"/>
      <c r="BJ286" s="11"/>
      <c r="BK286" s="11"/>
    </row>
    <row r="287" ht="15.75" customHeight="1">
      <c r="X287" s="37"/>
      <c r="Y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BD287" s="11"/>
      <c r="BE287" s="11"/>
      <c r="BF287" s="11"/>
      <c r="BG287" s="11"/>
      <c r="BH287" s="11"/>
      <c r="BI287" s="11"/>
      <c r="BJ287" s="11"/>
      <c r="BK287" s="11"/>
    </row>
    <row r="288" ht="15.75" customHeight="1">
      <c r="X288" s="37"/>
      <c r="Y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BD288" s="11"/>
      <c r="BE288" s="11"/>
      <c r="BF288" s="11"/>
      <c r="BG288" s="11"/>
      <c r="BH288" s="11"/>
      <c r="BI288" s="11"/>
      <c r="BJ288" s="11"/>
      <c r="BK288" s="11"/>
    </row>
    <row r="289" ht="15.75" customHeight="1">
      <c r="X289" s="37"/>
      <c r="Y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BD289" s="11"/>
      <c r="BE289" s="11"/>
      <c r="BF289" s="11"/>
      <c r="BG289" s="11"/>
      <c r="BH289" s="11"/>
      <c r="BI289" s="11"/>
      <c r="BJ289" s="11"/>
      <c r="BK289" s="11"/>
    </row>
    <row r="290" ht="15.75" customHeight="1">
      <c r="X290" s="37"/>
      <c r="Y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BD290" s="11"/>
      <c r="BE290" s="11"/>
      <c r="BF290" s="11"/>
      <c r="BG290" s="11"/>
      <c r="BH290" s="11"/>
      <c r="BI290" s="11"/>
      <c r="BJ290" s="11"/>
      <c r="BK290" s="11"/>
    </row>
    <row r="291" ht="15.75" customHeight="1">
      <c r="X291" s="37"/>
      <c r="Y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BD291" s="11"/>
      <c r="BE291" s="11"/>
      <c r="BF291" s="11"/>
      <c r="BG291" s="11"/>
      <c r="BH291" s="11"/>
      <c r="BI291" s="11"/>
      <c r="BJ291" s="11"/>
      <c r="BK291" s="11"/>
    </row>
    <row r="292" ht="15.75" customHeight="1">
      <c r="X292" s="37"/>
      <c r="Y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BD292" s="11"/>
      <c r="BE292" s="11"/>
      <c r="BF292" s="11"/>
      <c r="BG292" s="11"/>
      <c r="BH292" s="11"/>
      <c r="BI292" s="11"/>
      <c r="BJ292" s="11"/>
      <c r="BK292" s="11"/>
    </row>
    <row r="293" ht="15.75" customHeight="1">
      <c r="X293" s="37"/>
      <c r="Y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BD293" s="11"/>
      <c r="BE293" s="11"/>
      <c r="BF293" s="11"/>
      <c r="BG293" s="11"/>
      <c r="BH293" s="11"/>
      <c r="BI293" s="11"/>
      <c r="BJ293" s="11"/>
      <c r="BK293" s="11"/>
    </row>
    <row r="294" ht="15.75" customHeight="1">
      <c r="X294" s="37"/>
      <c r="Y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BD294" s="11"/>
      <c r="BE294" s="11"/>
      <c r="BF294" s="11"/>
      <c r="BG294" s="11"/>
      <c r="BH294" s="11"/>
      <c r="BI294" s="11"/>
      <c r="BJ294" s="11"/>
      <c r="BK294" s="11"/>
    </row>
    <row r="295" ht="15.75" customHeight="1">
      <c r="X295" s="37"/>
      <c r="Y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BD295" s="11"/>
      <c r="BE295" s="11"/>
      <c r="BF295" s="11"/>
      <c r="BG295" s="11"/>
      <c r="BH295" s="11"/>
      <c r="BI295" s="11"/>
      <c r="BJ295" s="11"/>
      <c r="BK295" s="11"/>
    </row>
    <row r="296" ht="15.75" customHeight="1">
      <c r="X296" s="37"/>
      <c r="Y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BD296" s="11"/>
      <c r="BE296" s="11"/>
      <c r="BF296" s="11"/>
      <c r="BG296" s="11"/>
      <c r="BH296" s="11"/>
      <c r="BI296" s="11"/>
      <c r="BJ296" s="11"/>
      <c r="BK296" s="11"/>
    </row>
    <row r="297" ht="15.75" customHeight="1">
      <c r="X297" s="37"/>
      <c r="Y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BD297" s="11"/>
      <c r="BE297" s="11"/>
      <c r="BF297" s="11"/>
      <c r="BG297" s="11"/>
      <c r="BH297" s="11"/>
      <c r="BI297" s="11"/>
      <c r="BJ297" s="11"/>
      <c r="BK297" s="11"/>
    </row>
    <row r="298" ht="15.75" customHeight="1">
      <c r="X298" s="37"/>
      <c r="Y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BD298" s="11"/>
      <c r="BE298" s="11"/>
      <c r="BF298" s="11"/>
      <c r="BG298" s="11"/>
      <c r="BH298" s="11"/>
      <c r="BI298" s="11"/>
      <c r="BJ298" s="11"/>
      <c r="BK298" s="11"/>
    </row>
    <row r="299" ht="15.75" customHeight="1">
      <c r="X299" s="37"/>
      <c r="Y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BD299" s="11"/>
      <c r="BE299" s="11"/>
      <c r="BF299" s="11"/>
      <c r="BG299" s="11"/>
      <c r="BH299" s="11"/>
      <c r="BI299" s="11"/>
      <c r="BJ299" s="11"/>
      <c r="BK299" s="11"/>
    </row>
    <row r="300" ht="15.75" customHeight="1">
      <c r="X300" s="37"/>
      <c r="Y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BD300" s="11"/>
      <c r="BE300" s="11"/>
      <c r="BF300" s="11"/>
      <c r="BG300" s="11"/>
      <c r="BH300" s="11"/>
      <c r="BI300" s="11"/>
      <c r="BJ300" s="11"/>
      <c r="BK300" s="11"/>
    </row>
    <row r="301" ht="15.75" customHeight="1">
      <c r="X301" s="37"/>
      <c r="Y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BD301" s="11"/>
      <c r="BE301" s="11"/>
      <c r="BF301" s="11"/>
      <c r="BG301" s="11"/>
      <c r="BH301" s="11"/>
      <c r="BI301" s="11"/>
      <c r="BJ301" s="11"/>
      <c r="BK301" s="11"/>
    </row>
    <row r="302" ht="15.75" customHeight="1">
      <c r="X302" s="37"/>
      <c r="Y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BD302" s="11"/>
      <c r="BE302" s="11"/>
      <c r="BF302" s="11"/>
      <c r="BG302" s="11"/>
      <c r="BH302" s="11"/>
      <c r="BI302" s="11"/>
      <c r="BJ302" s="11"/>
      <c r="BK302" s="11"/>
    </row>
    <row r="303" ht="15.75" customHeight="1">
      <c r="X303" s="37"/>
      <c r="Y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BD303" s="11"/>
      <c r="BE303" s="11"/>
      <c r="BF303" s="11"/>
      <c r="BG303" s="11"/>
      <c r="BH303" s="11"/>
      <c r="BI303" s="11"/>
      <c r="BJ303" s="11"/>
      <c r="BK303" s="11"/>
    </row>
    <row r="304" ht="15.75" customHeight="1">
      <c r="X304" s="37"/>
      <c r="Y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BD304" s="11"/>
      <c r="BE304" s="11"/>
      <c r="BF304" s="11"/>
      <c r="BG304" s="11"/>
      <c r="BH304" s="11"/>
      <c r="BI304" s="11"/>
      <c r="BJ304" s="11"/>
      <c r="BK304" s="11"/>
    </row>
    <row r="305" ht="15.75" customHeight="1">
      <c r="X305" s="37"/>
      <c r="Y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BD305" s="11"/>
      <c r="BE305" s="11"/>
      <c r="BF305" s="11"/>
      <c r="BG305" s="11"/>
      <c r="BH305" s="11"/>
      <c r="BI305" s="11"/>
      <c r="BJ305" s="11"/>
      <c r="BK305" s="11"/>
    </row>
    <row r="306" ht="15.75" customHeight="1">
      <c r="X306" s="37"/>
      <c r="Y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BD306" s="11"/>
      <c r="BE306" s="11"/>
      <c r="BF306" s="11"/>
      <c r="BG306" s="11"/>
      <c r="BH306" s="11"/>
      <c r="BI306" s="11"/>
      <c r="BJ306" s="11"/>
      <c r="BK306" s="11"/>
    </row>
    <row r="307" ht="15.75" customHeight="1">
      <c r="X307" s="37"/>
      <c r="Y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BD307" s="11"/>
      <c r="BE307" s="11"/>
      <c r="BF307" s="11"/>
      <c r="BG307" s="11"/>
      <c r="BH307" s="11"/>
      <c r="BI307" s="11"/>
      <c r="BJ307" s="11"/>
      <c r="BK307" s="11"/>
    </row>
    <row r="308" ht="15.75" customHeight="1">
      <c r="X308" s="37"/>
      <c r="Y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BD308" s="11"/>
      <c r="BE308" s="11"/>
      <c r="BF308" s="11"/>
      <c r="BG308" s="11"/>
      <c r="BH308" s="11"/>
      <c r="BI308" s="11"/>
      <c r="BJ308" s="11"/>
      <c r="BK308" s="11"/>
    </row>
    <row r="309" ht="15.75" customHeight="1">
      <c r="X309" s="37"/>
      <c r="Y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BD309" s="11"/>
      <c r="BE309" s="11"/>
      <c r="BF309" s="11"/>
      <c r="BG309" s="11"/>
      <c r="BH309" s="11"/>
      <c r="BI309" s="11"/>
      <c r="BJ309" s="11"/>
      <c r="BK309" s="11"/>
    </row>
    <row r="310" ht="15.75" customHeight="1">
      <c r="X310" s="37"/>
      <c r="Y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BD310" s="11"/>
      <c r="BE310" s="11"/>
      <c r="BF310" s="11"/>
      <c r="BG310" s="11"/>
      <c r="BH310" s="11"/>
      <c r="BI310" s="11"/>
      <c r="BJ310" s="11"/>
      <c r="BK310" s="11"/>
    </row>
    <row r="311" ht="15.75" customHeight="1">
      <c r="X311" s="37"/>
      <c r="Y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BD311" s="11"/>
      <c r="BE311" s="11"/>
      <c r="BF311" s="11"/>
      <c r="BG311" s="11"/>
      <c r="BH311" s="11"/>
      <c r="BI311" s="11"/>
      <c r="BJ311" s="11"/>
      <c r="BK311" s="11"/>
    </row>
    <row r="312" ht="15.75" customHeight="1">
      <c r="X312" s="37"/>
      <c r="Y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BD312" s="11"/>
      <c r="BE312" s="11"/>
      <c r="BF312" s="11"/>
      <c r="BG312" s="11"/>
      <c r="BH312" s="11"/>
      <c r="BI312" s="11"/>
      <c r="BJ312" s="11"/>
      <c r="BK312" s="11"/>
    </row>
    <row r="313" ht="15.75" customHeight="1">
      <c r="X313" s="37"/>
      <c r="Y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BD313" s="11"/>
      <c r="BE313" s="11"/>
      <c r="BF313" s="11"/>
      <c r="BG313" s="11"/>
      <c r="BH313" s="11"/>
      <c r="BI313" s="11"/>
      <c r="BJ313" s="11"/>
      <c r="BK313" s="11"/>
    </row>
    <row r="314" ht="15.75" customHeight="1">
      <c r="X314" s="37"/>
      <c r="Y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BD314" s="11"/>
      <c r="BE314" s="11"/>
      <c r="BF314" s="11"/>
      <c r="BG314" s="11"/>
      <c r="BH314" s="11"/>
      <c r="BI314" s="11"/>
      <c r="BJ314" s="11"/>
      <c r="BK314" s="11"/>
    </row>
    <row r="315" ht="15.75" customHeight="1">
      <c r="X315" s="37"/>
      <c r="Y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BD315" s="11"/>
      <c r="BE315" s="11"/>
      <c r="BF315" s="11"/>
      <c r="BG315" s="11"/>
      <c r="BH315" s="11"/>
      <c r="BI315" s="11"/>
      <c r="BJ315" s="11"/>
      <c r="BK315" s="11"/>
    </row>
    <row r="316" ht="15.75" customHeight="1">
      <c r="X316" s="37"/>
      <c r="Y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BD316" s="11"/>
      <c r="BE316" s="11"/>
      <c r="BF316" s="11"/>
      <c r="BG316" s="11"/>
      <c r="BH316" s="11"/>
      <c r="BI316" s="11"/>
      <c r="BJ316" s="11"/>
      <c r="BK316" s="11"/>
    </row>
    <row r="317" ht="15.75" customHeight="1">
      <c r="X317" s="37"/>
      <c r="Y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BD317" s="11"/>
      <c r="BE317" s="11"/>
      <c r="BF317" s="11"/>
      <c r="BG317" s="11"/>
      <c r="BH317" s="11"/>
      <c r="BI317" s="11"/>
      <c r="BJ317" s="11"/>
      <c r="BK317" s="11"/>
    </row>
    <row r="318" ht="15.75" customHeight="1">
      <c r="X318" s="37"/>
      <c r="Y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BD318" s="11"/>
      <c r="BE318" s="11"/>
      <c r="BF318" s="11"/>
      <c r="BG318" s="11"/>
      <c r="BH318" s="11"/>
      <c r="BI318" s="11"/>
      <c r="BJ318" s="11"/>
      <c r="BK318" s="11"/>
    </row>
    <row r="319" ht="15.75" customHeight="1">
      <c r="X319" s="37"/>
      <c r="Y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BD319" s="11"/>
      <c r="BE319" s="11"/>
      <c r="BF319" s="11"/>
      <c r="BG319" s="11"/>
      <c r="BH319" s="11"/>
      <c r="BI319" s="11"/>
      <c r="BJ319" s="11"/>
      <c r="BK319" s="11"/>
    </row>
    <row r="320" ht="15.75" customHeight="1">
      <c r="X320" s="37"/>
      <c r="Y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BD320" s="11"/>
      <c r="BE320" s="11"/>
      <c r="BF320" s="11"/>
      <c r="BG320" s="11"/>
      <c r="BH320" s="11"/>
      <c r="BI320" s="11"/>
      <c r="BJ320" s="11"/>
      <c r="BK320" s="11"/>
    </row>
    <row r="321" ht="15.75" customHeight="1">
      <c r="X321" s="37"/>
      <c r="Y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BD321" s="11"/>
      <c r="BE321" s="11"/>
      <c r="BF321" s="11"/>
      <c r="BG321" s="11"/>
      <c r="BH321" s="11"/>
      <c r="BI321" s="11"/>
      <c r="BJ321" s="11"/>
      <c r="BK321" s="11"/>
    </row>
    <row r="322" ht="15.75" customHeight="1">
      <c r="X322" s="37"/>
      <c r="Y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BD322" s="11"/>
      <c r="BE322" s="11"/>
      <c r="BF322" s="11"/>
      <c r="BG322" s="11"/>
      <c r="BH322" s="11"/>
      <c r="BI322" s="11"/>
      <c r="BJ322" s="11"/>
      <c r="BK322" s="11"/>
    </row>
    <row r="323" ht="15.75" customHeight="1">
      <c r="X323" s="37"/>
      <c r="Y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BD323" s="11"/>
      <c r="BE323" s="11"/>
      <c r="BF323" s="11"/>
      <c r="BG323" s="11"/>
      <c r="BH323" s="11"/>
      <c r="BI323" s="11"/>
      <c r="BJ323" s="11"/>
      <c r="BK323" s="11"/>
    </row>
    <row r="324" ht="15.75" customHeight="1">
      <c r="X324" s="37"/>
      <c r="Y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BD324" s="11"/>
      <c r="BE324" s="11"/>
      <c r="BF324" s="11"/>
      <c r="BG324" s="11"/>
      <c r="BH324" s="11"/>
      <c r="BI324" s="11"/>
      <c r="BJ324" s="11"/>
      <c r="BK324" s="11"/>
    </row>
    <row r="325" ht="15.75" customHeight="1">
      <c r="X325" s="37"/>
      <c r="Y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BD325" s="11"/>
      <c r="BE325" s="11"/>
      <c r="BF325" s="11"/>
      <c r="BG325" s="11"/>
      <c r="BH325" s="11"/>
      <c r="BI325" s="11"/>
      <c r="BJ325" s="11"/>
      <c r="BK325" s="11"/>
    </row>
    <row r="326" ht="15.75" customHeight="1">
      <c r="X326" s="37"/>
      <c r="Y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BD326" s="11"/>
      <c r="BE326" s="11"/>
      <c r="BF326" s="11"/>
      <c r="BG326" s="11"/>
      <c r="BH326" s="11"/>
      <c r="BI326" s="11"/>
      <c r="BJ326" s="11"/>
      <c r="BK326" s="11"/>
    </row>
    <row r="327" ht="15.75" customHeight="1">
      <c r="X327" s="37"/>
      <c r="Y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BD327" s="11"/>
      <c r="BE327" s="11"/>
      <c r="BF327" s="11"/>
      <c r="BG327" s="11"/>
      <c r="BH327" s="11"/>
      <c r="BI327" s="11"/>
      <c r="BJ327" s="11"/>
      <c r="BK327" s="11"/>
    </row>
    <row r="328" ht="15.75" customHeight="1">
      <c r="X328" s="37"/>
      <c r="Y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BD328" s="11"/>
      <c r="BE328" s="11"/>
      <c r="BF328" s="11"/>
      <c r="BG328" s="11"/>
      <c r="BH328" s="11"/>
      <c r="BI328" s="11"/>
      <c r="BJ328" s="11"/>
      <c r="BK328" s="11"/>
    </row>
    <row r="329" ht="15.75" customHeight="1">
      <c r="X329" s="37"/>
      <c r="Y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BD329" s="11"/>
      <c r="BE329" s="11"/>
      <c r="BF329" s="11"/>
      <c r="BG329" s="11"/>
      <c r="BH329" s="11"/>
      <c r="BI329" s="11"/>
      <c r="BJ329" s="11"/>
      <c r="BK329" s="11"/>
    </row>
    <row r="330" ht="15.75" customHeight="1">
      <c r="X330" s="37"/>
      <c r="Y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BD330" s="11"/>
      <c r="BE330" s="11"/>
      <c r="BF330" s="11"/>
      <c r="BG330" s="11"/>
      <c r="BH330" s="11"/>
      <c r="BI330" s="11"/>
      <c r="BJ330" s="11"/>
      <c r="BK330" s="11"/>
    </row>
    <row r="331" ht="15.75" customHeight="1">
      <c r="X331" s="37"/>
      <c r="Y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BD331" s="11"/>
      <c r="BE331" s="11"/>
      <c r="BF331" s="11"/>
      <c r="BG331" s="11"/>
      <c r="BH331" s="11"/>
      <c r="BI331" s="11"/>
      <c r="BJ331" s="11"/>
      <c r="BK331" s="11"/>
    </row>
    <row r="332" ht="15.75" customHeight="1">
      <c r="X332" s="37"/>
      <c r="Y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BD332" s="11"/>
      <c r="BE332" s="11"/>
      <c r="BF332" s="11"/>
      <c r="BG332" s="11"/>
      <c r="BH332" s="11"/>
      <c r="BI332" s="11"/>
      <c r="BJ332" s="11"/>
      <c r="BK332" s="11"/>
    </row>
    <row r="333" ht="15.75" customHeight="1">
      <c r="X333" s="37"/>
      <c r="Y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BD333" s="11"/>
      <c r="BE333" s="11"/>
      <c r="BF333" s="11"/>
      <c r="BG333" s="11"/>
      <c r="BH333" s="11"/>
      <c r="BI333" s="11"/>
      <c r="BJ333" s="11"/>
      <c r="BK333" s="11"/>
    </row>
    <row r="334" ht="15.75" customHeight="1">
      <c r="X334" s="37"/>
      <c r="Y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BD334" s="11"/>
      <c r="BE334" s="11"/>
      <c r="BF334" s="11"/>
      <c r="BG334" s="11"/>
      <c r="BH334" s="11"/>
      <c r="BI334" s="11"/>
      <c r="BJ334" s="11"/>
      <c r="BK334" s="11"/>
    </row>
    <row r="335" ht="15.75" customHeight="1">
      <c r="X335" s="37"/>
      <c r="Y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BD335" s="11"/>
      <c r="BE335" s="11"/>
      <c r="BF335" s="11"/>
      <c r="BG335" s="11"/>
      <c r="BH335" s="11"/>
      <c r="BI335" s="11"/>
      <c r="BJ335" s="11"/>
      <c r="BK335" s="11"/>
    </row>
    <row r="336" ht="15.75" customHeight="1">
      <c r="X336" s="37"/>
      <c r="Y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BD336" s="11"/>
      <c r="BE336" s="11"/>
      <c r="BF336" s="11"/>
      <c r="BG336" s="11"/>
      <c r="BH336" s="11"/>
      <c r="BI336" s="11"/>
      <c r="BJ336" s="11"/>
      <c r="BK336" s="11"/>
    </row>
    <row r="337" ht="15.75" customHeight="1">
      <c r="X337" s="37"/>
      <c r="Y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BD337" s="11"/>
      <c r="BE337" s="11"/>
      <c r="BF337" s="11"/>
      <c r="BG337" s="11"/>
      <c r="BH337" s="11"/>
      <c r="BI337" s="11"/>
      <c r="BJ337" s="11"/>
      <c r="BK337" s="11"/>
    </row>
    <row r="338" ht="15.75" customHeight="1">
      <c r="X338" s="37"/>
      <c r="Y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BD338" s="11"/>
      <c r="BE338" s="11"/>
      <c r="BF338" s="11"/>
      <c r="BG338" s="11"/>
      <c r="BH338" s="11"/>
      <c r="BI338" s="11"/>
      <c r="BJ338" s="11"/>
      <c r="BK338" s="11"/>
    </row>
    <row r="339" ht="15.75" customHeight="1">
      <c r="X339" s="37"/>
      <c r="Y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BD339" s="11"/>
      <c r="BE339" s="11"/>
      <c r="BF339" s="11"/>
      <c r="BG339" s="11"/>
      <c r="BH339" s="11"/>
      <c r="BI339" s="11"/>
      <c r="BJ339" s="11"/>
      <c r="BK339" s="11"/>
    </row>
    <row r="340" ht="15.75" customHeight="1">
      <c r="X340" s="37"/>
      <c r="Y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BD340" s="11"/>
      <c r="BE340" s="11"/>
      <c r="BF340" s="11"/>
      <c r="BG340" s="11"/>
      <c r="BH340" s="11"/>
      <c r="BI340" s="11"/>
      <c r="BJ340" s="11"/>
      <c r="BK340" s="11"/>
    </row>
    <row r="341" ht="15.75" customHeight="1">
      <c r="X341" s="37"/>
      <c r="Y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BD341" s="11"/>
      <c r="BE341" s="11"/>
      <c r="BF341" s="11"/>
      <c r="BG341" s="11"/>
      <c r="BH341" s="11"/>
      <c r="BI341" s="11"/>
      <c r="BJ341" s="11"/>
      <c r="BK341" s="11"/>
    </row>
    <row r="342" ht="15.75" customHeight="1">
      <c r="X342" s="37"/>
      <c r="Y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BD342" s="11"/>
      <c r="BE342" s="11"/>
      <c r="BF342" s="11"/>
      <c r="BG342" s="11"/>
      <c r="BH342" s="11"/>
      <c r="BI342" s="11"/>
      <c r="BJ342" s="11"/>
      <c r="BK342" s="11"/>
    </row>
    <row r="343" ht="15.75" customHeight="1">
      <c r="X343" s="37"/>
      <c r="Y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BD343" s="11"/>
      <c r="BE343" s="11"/>
      <c r="BF343" s="11"/>
      <c r="BG343" s="11"/>
      <c r="BH343" s="11"/>
      <c r="BI343" s="11"/>
      <c r="BJ343" s="11"/>
      <c r="BK343" s="11"/>
    </row>
    <row r="344" ht="15.75" customHeight="1">
      <c r="X344" s="37"/>
      <c r="Y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BD344" s="11"/>
      <c r="BE344" s="11"/>
      <c r="BF344" s="11"/>
      <c r="BG344" s="11"/>
      <c r="BH344" s="11"/>
      <c r="BI344" s="11"/>
      <c r="BJ344" s="11"/>
      <c r="BK344" s="11"/>
    </row>
    <row r="345" ht="15.75" customHeight="1">
      <c r="X345" s="37"/>
      <c r="Y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BD345" s="11"/>
      <c r="BE345" s="11"/>
      <c r="BF345" s="11"/>
      <c r="BG345" s="11"/>
      <c r="BH345" s="11"/>
      <c r="BI345" s="11"/>
      <c r="BJ345" s="11"/>
      <c r="BK345" s="11"/>
    </row>
    <row r="346" ht="15.75" customHeight="1">
      <c r="X346" s="37"/>
      <c r="Y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BD346" s="11"/>
      <c r="BE346" s="11"/>
      <c r="BF346" s="11"/>
      <c r="BG346" s="11"/>
      <c r="BH346" s="11"/>
      <c r="BI346" s="11"/>
      <c r="BJ346" s="11"/>
      <c r="BK346" s="11"/>
    </row>
    <row r="347" ht="15.75" customHeight="1">
      <c r="X347" s="37"/>
      <c r="Y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BD347" s="11"/>
      <c r="BE347" s="11"/>
      <c r="BF347" s="11"/>
      <c r="BG347" s="11"/>
      <c r="BH347" s="11"/>
      <c r="BI347" s="11"/>
      <c r="BJ347" s="11"/>
      <c r="BK347" s="11"/>
    </row>
    <row r="348" ht="15.75" customHeight="1">
      <c r="X348" s="37"/>
      <c r="Y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BD348" s="11"/>
      <c r="BE348" s="11"/>
      <c r="BF348" s="11"/>
      <c r="BG348" s="11"/>
      <c r="BH348" s="11"/>
      <c r="BI348" s="11"/>
      <c r="BJ348" s="11"/>
      <c r="BK348" s="11"/>
    </row>
    <row r="349" ht="15.75" customHeight="1">
      <c r="X349" s="37"/>
      <c r="Y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BD349" s="11"/>
      <c r="BE349" s="11"/>
      <c r="BF349" s="11"/>
      <c r="BG349" s="11"/>
      <c r="BH349" s="11"/>
      <c r="BI349" s="11"/>
      <c r="BJ349" s="11"/>
      <c r="BK349" s="11"/>
    </row>
    <row r="350" ht="15.75" customHeight="1">
      <c r="X350" s="37"/>
      <c r="Y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BD350" s="11"/>
      <c r="BE350" s="11"/>
      <c r="BF350" s="11"/>
      <c r="BG350" s="11"/>
      <c r="BH350" s="11"/>
      <c r="BI350" s="11"/>
      <c r="BJ350" s="11"/>
      <c r="BK350" s="11"/>
    </row>
    <row r="351" ht="15.75" customHeight="1">
      <c r="X351" s="37"/>
      <c r="Y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BD351" s="11"/>
      <c r="BE351" s="11"/>
      <c r="BF351" s="11"/>
      <c r="BG351" s="11"/>
      <c r="BH351" s="11"/>
      <c r="BI351" s="11"/>
      <c r="BJ351" s="11"/>
      <c r="BK351" s="11"/>
    </row>
    <row r="352" ht="15.75" customHeight="1">
      <c r="X352" s="37"/>
      <c r="Y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BD352" s="11"/>
      <c r="BE352" s="11"/>
      <c r="BF352" s="11"/>
      <c r="BG352" s="11"/>
      <c r="BH352" s="11"/>
      <c r="BI352" s="11"/>
      <c r="BJ352" s="11"/>
      <c r="BK352" s="11"/>
    </row>
    <row r="353" ht="15.75" customHeight="1">
      <c r="X353" s="37"/>
      <c r="Y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BD353" s="11"/>
      <c r="BE353" s="11"/>
      <c r="BF353" s="11"/>
      <c r="BG353" s="11"/>
      <c r="BH353" s="11"/>
      <c r="BI353" s="11"/>
      <c r="BJ353" s="11"/>
      <c r="BK353" s="11"/>
    </row>
    <row r="354" ht="15.75" customHeight="1">
      <c r="X354" s="37"/>
      <c r="Y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BD354" s="11"/>
      <c r="BE354" s="11"/>
      <c r="BF354" s="11"/>
      <c r="BG354" s="11"/>
      <c r="BH354" s="11"/>
      <c r="BI354" s="11"/>
      <c r="BJ354" s="11"/>
      <c r="BK354" s="11"/>
    </row>
    <row r="355" ht="15.75" customHeight="1">
      <c r="X355" s="37"/>
      <c r="Y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BD355" s="11"/>
      <c r="BE355" s="11"/>
      <c r="BF355" s="11"/>
      <c r="BG355" s="11"/>
      <c r="BH355" s="11"/>
      <c r="BI355" s="11"/>
      <c r="BJ355" s="11"/>
      <c r="BK355" s="11"/>
    </row>
    <row r="356" ht="15.75" customHeight="1">
      <c r="X356" s="37"/>
      <c r="Y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BD356" s="11"/>
      <c r="BE356" s="11"/>
      <c r="BF356" s="11"/>
      <c r="BG356" s="11"/>
      <c r="BH356" s="11"/>
      <c r="BI356" s="11"/>
      <c r="BJ356" s="11"/>
      <c r="BK356" s="11"/>
    </row>
    <row r="357" ht="15.75" customHeight="1">
      <c r="X357" s="37"/>
      <c r="Y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BD357" s="11"/>
      <c r="BE357" s="11"/>
      <c r="BF357" s="11"/>
      <c r="BG357" s="11"/>
      <c r="BH357" s="11"/>
      <c r="BI357" s="11"/>
      <c r="BJ357" s="11"/>
      <c r="BK357" s="11"/>
    </row>
    <row r="358" ht="15.75" customHeight="1">
      <c r="X358" s="37"/>
      <c r="Y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BD358" s="11"/>
      <c r="BE358" s="11"/>
      <c r="BF358" s="11"/>
      <c r="BG358" s="11"/>
      <c r="BH358" s="11"/>
      <c r="BI358" s="11"/>
      <c r="BJ358" s="11"/>
      <c r="BK358" s="11"/>
    </row>
    <row r="359" ht="15.75" customHeight="1">
      <c r="X359" s="37"/>
      <c r="Y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BD359" s="11"/>
      <c r="BE359" s="11"/>
      <c r="BF359" s="11"/>
      <c r="BG359" s="11"/>
      <c r="BH359" s="11"/>
      <c r="BI359" s="11"/>
      <c r="BJ359" s="11"/>
      <c r="BK359" s="11"/>
    </row>
    <row r="360" ht="15.75" customHeight="1">
      <c r="X360" s="37"/>
      <c r="Y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BD360" s="11"/>
      <c r="BE360" s="11"/>
      <c r="BF360" s="11"/>
      <c r="BG360" s="11"/>
      <c r="BH360" s="11"/>
      <c r="BI360" s="11"/>
      <c r="BJ360" s="11"/>
      <c r="BK360" s="11"/>
    </row>
    <row r="361" ht="15.75" customHeight="1">
      <c r="X361" s="37"/>
      <c r="Y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BD361" s="11"/>
      <c r="BE361" s="11"/>
      <c r="BF361" s="11"/>
      <c r="BG361" s="11"/>
      <c r="BH361" s="11"/>
      <c r="BI361" s="11"/>
      <c r="BJ361" s="11"/>
      <c r="BK361" s="11"/>
    </row>
    <row r="362" ht="15.75" customHeight="1">
      <c r="X362" s="37"/>
      <c r="Y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BD362" s="11"/>
      <c r="BE362" s="11"/>
      <c r="BF362" s="11"/>
      <c r="BG362" s="11"/>
      <c r="BH362" s="11"/>
      <c r="BI362" s="11"/>
      <c r="BJ362" s="11"/>
      <c r="BK362" s="11"/>
    </row>
    <row r="363" ht="15.75" customHeight="1">
      <c r="X363" s="37"/>
      <c r="Y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BD363" s="11"/>
      <c r="BE363" s="11"/>
      <c r="BF363" s="11"/>
      <c r="BG363" s="11"/>
      <c r="BH363" s="11"/>
      <c r="BI363" s="11"/>
      <c r="BJ363" s="11"/>
      <c r="BK363" s="11"/>
    </row>
    <row r="364" ht="15.75" customHeight="1">
      <c r="X364" s="37"/>
      <c r="Y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BD364" s="11"/>
      <c r="BE364" s="11"/>
      <c r="BF364" s="11"/>
      <c r="BG364" s="11"/>
      <c r="BH364" s="11"/>
      <c r="BI364" s="11"/>
      <c r="BJ364" s="11"/>
      <c r="BK364" s="11"/>
    </row>
    <row r="365" ht="15.75" customHeight="1">
      <c r="X365" s="37"/>
      <c r="Y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BD365" s="11"/>
      <c r="BE365" s="11"/>
      <c r="BF365" s="11"/>
      <c r="BG365" s="11"/>
      <c r="BH365" s="11"/>
      <c r="BI365" s="11"/>
      <c r="BJ365" s="11"/>
      <c r="BK365" s="11"/>
    </row>
    <row r="366" ht="15.75" customHeight="1">
      <c r="X366" s="37"/>
      <c r="Y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BD366" s="11"/>
      <c r="BE366" s="11"/>
      <c r="BF366" s="11"/>
      <c r="BG366" s="11"/>
      <c r="BH366" s="11"/>
      <c r="BI366" s="11"/>
      <c r="BJ366" s="11"/>
      <c r="BK366" s="11"/>
    </row>
    <row r="367" ht="15.75" customHeight="1">
      <c r="X367" s="37"/>
      <c r="Y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BD367" s="11"/>
      <c r="BE367" s="11"/>
      <c r="BF367" s="11"/>
      <c r="BG367" s="11"/>
      <c r="BH367" s="11"/>
      <c r="BI367" s="11"/>
      <c r="BJ367" s="11"/>
      <c r="BK367" s="11"/>
    </row>
    <row r="368" ht="15.75" customHeight="1">
      <c r="X368" s="37"/>
      <c r="Y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BD368" s="11"/>
      <c r="BE368" s="11"/>
      <c r="BF368" s="11"/>
      <c r="BG368" s="11"/>
      <c r="BH368" s="11"/>
      <c r="BI368" s="11"/>
      <c r="BJ368" s="11"/>
      <c r="BK368" s="11"/>
    </row>
    <row r="369" ht="15.75" customHeight="1">
      <c r="X369" s="37"/>
      <c r="Y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BD369" s="11"/>
      <c r="BE369" s="11"/>
      <c r="BF369" s="11"/>
      <c r="BG369" s="11"/>
      <c r="BH369" s="11"/>
      <c r="BI369" s="11"/>
      <c r="BJ369" s="11"/>
      <c r="BK369" s="11"/>
    </row>
    <row r="370" ht="15.75" customHeight="1">
      <c r="X370" s="37"/>
      <c r="Y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BD370" s="11"/>
      <c r="BE370" s="11"/>
      <c r="BF370" s="11"/>
      <c r="BG370" s="11"/>
      <c r="BH370" s="11"/>
      <c r="BI370" s="11"/>
      <c r="BJ370" s="11"/>
      <c r="BK370" s="11"/>
    </row>
    <row r="371" ht="15.75" customHeight="1">
      <c r="X371" s="37"/>
      <c r="Y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BD371" s="11"/>
      <c r="BE371" s="11"/>
      <c r="BF371" s="11"/>
      <c r="BG371" s="11"/>
      <c r="BH371" s="11"/>
      <c r="BI371" s="11"/>
      <c r="BJ371" s="11"/>
      <c r="BK371" s="11"/>
    </row>
    <row r="372" ht="15.75" customHeight="1">
      <c r="X372" s="37"/>
      <c r="Y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BD372" s="11"/>
      <c r="BE372" s="11"/>
      <c r="BF372" s="11"/>
      <c r="BG372" s="11"/>
      <c r="BH372" s="11"/>
      <c r="BI372" s="11"/>
      <c r="BJ372" s="11"/>
      <c r="BK372" s="11"/>
    </row>
    <row r="373" ht="15.75" customHeight="1">
      <c r="X373" s="37"/>
      <c r="Y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BD373" s="11"/>
      <c r="BE373" s="11"/>
      <c r="BF373" s="11"/>
      <c r="BG373" s="11"/>
      <c r="BH373" s="11"/>
      <c r="BI373" s="11"/>
      <c r="BJ373" s="11"/>
      <c r="BK373" s="11"/>
    </row>
    <row r="374" ht="15.75" customHeight="1">
      <c r="X374" s="37"/>
      <c r="Y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BD374" s="11"/>
      <c r="BE374" s="11"/>
      <c r="BF374" s="11"/>
      <c r="BG374" s="11"/>
      <c r="BH374" s="11"/>
      <c r="BI374" s="11"/>
      <c r="BJ374" s="11"/>
      <c r="BK374" s="11"/>
    </row>
    <row r="375" ht="15.75" customHeight="1">
      <c r="X375" s="37"/>
      <c r="Y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BD375" s="11"/>
      <c r="BE375" s="11"/>
      <c r="BF375" s="11"/>
      <c r="BG375" s="11"/>
      <c r="BH375" s="11"/>
      <c r="BI375" s="11"/>
      <c r="BJ375" s="11"/>
      <c r="BK375" s="11"/>
    </row>
    <row r="376" ht="15.75" customHeight="1">
      <c r="X376" s="37"/>
      <c r="Y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BD376" s="11"/>
      <c r="BE376" s="11"/>
      <c r="BF376" s="11"/>
      <c r="BG376" s="11"/>
      <c r="BH376" s="11"/>
      <c r="BI376" s="11"/>
      <c r="BJ376" s="11"/>
      <c r="BK376" s="11"/>
    </row>
    <row r="377" ht="15.75" customHeight="1">
      <c r="X377" s="37"/>
      <c r="Y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BD377" s="11"/>
      <c r="BE377" s="11"/>
      <c r="BF377" s="11"/>
      <c r="BG377" s="11"/>
      <c r="BH377" s="11"/>
      <c r="BI377" s="11"/>
      <c r="BJ377" s="11"/>
      <c r="BK377" s="11"/>
    </row>
    <row r="378" ht="15.75" customHeight="1">
      <c r="X378" s="37"/>
      <c r="Y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BD378" s="11"/>
      <c r="BE378" s="11"/>
      <c r="BF378" s="11"/>
      <c r="BG378" s="11"/>
      <c r="BH378" s="11"/>
      <c r="BI378" s="11"/>
      <c r="BJ378" s="11"/>
      <c r="BK378" s="11"/>
    </row>
    <row r="379" ht="15.75" customHeight="1">
      <c r="X379" s="37"/>
      <c r="Y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BD379" s="11"/>
      <c r="BE379" s="11"/>
      <c r="BF379" s="11"/>
      <c r="BG379" s="11"/>
      <c r="BH379" s="11"/>
      <c r="BI379" s="11"/>
      <c r="BJ379" s="11"/>
      <c r="BK379" s="11"/>
    </row>
    <row r="380" ht="15.75" customHeight="1">
      <c r="X380" s="37"/>
      <c r="Y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BD380" s="11"/>
      <c r="BE380" s="11"/>
      <c r="BF380" s="11"/>
      <c r="BG380" s="11"/>
      <c r="BH380" s="11"/>
      <c r="BI380" s="11"/>
      <c r="BJ380" s="11"/>
      <c r="BK380" s="11"/>
    </row>
    <row r="381" ht="15.75" customHeight="1">
      <c r="X381" s="37"/>
      <c r="Y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BD381" s="11"/>
      <c r="BE381" s="11"/>
      <c r="BF381" s="11"/>
      <c r="BG381" s="11"/>
      <c r="BH381" s="11"/>
      <c r="BI381" s="11"/>
      <c r="BJ381" s="11"/>
      <c r="BK381" s="11"/>
    </row>
    <row r="382" ht="15.75" customHeight="1">
      <c r="X382" s="37"/>
      <c r="Y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BD382" s="11"/>
      <c r="BE382" s="11"/>
      <c r="BF382" s="11"/>
      <c r="BG382" s="11"/>
      <c r="BH382" s="11"/>
      <c r="BI382" s="11"/>
      <c r="BJ382" s="11"/>
      <c r="BK382" s="11"/>
    </row>
    <row r="383" ht="15.75" customHeight="1">
      <c r="X383" s="37"/>
      <c r="Y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BD383" s="11"/>
      <c r="BE383" s="11"/>
      <c r="BF383" s="11"/>
      <c r="BG383" s="11"/>
      <c r="BH383" s="11"/>
      <c r="BI383" s="11"/>
      <c r="BJ383" s="11"/>
      <c r="BK383" s="11"/>
    </row>
    <row r="384" ht="15.75" customHeight="1">
      <c r="X384" s="37"/>
      <c r="Y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BD384" s="11"/>
      <c r="BE384" s="11"/>
      <c r="BF384" s="11"/>
      <c r="BG384" s="11"/>
      <c r="BH384" s="11"/>
      <c r="BI384" s="11"/>
      <c r="BJ384" s="11"/>
      <c r="BK384" s="11"/>
    </row>
    <row r="385" ht="15.75" customHeight="1">
      <c r="X385" s="37"/>
      <c r="Y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BD385" s="11"/>
      <c r="BE385" s="11"/>
      <c r="BF385" s="11"/>
      <c r="BG385" s="11"/>
      <c r="BH385" s="11"/>
      <c r="BI385" s="11"/>
      <c r="BJ385" s="11"/>
      <c r="BK385" s="11"/>
    </row>
    <row r="386" ht="15.75" customHeight="1">
      <c r="X386" s="37"/>
      <c r="Y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BD386" s="11"/>
      <c r="BE386" s="11"/>
      <c r="BF386" s="11"/>
      <c r="BG386" s="11"/>
      <c r="BH386" s="11"/>
      <c r="BI386" s="11"/>
      <c r="BJ386" s="11"/>
      <c r="BK386" s="11"/>
    </row>
    <row r="387" ht="15.75" customHeight="1">
      <c r="X387" s="37"/>
      <c r="Y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BD387" s="11"/>
      <c r="BE387" s="11"/>
      <c r="BF387" s="11"/>
      <c r="BG387" s="11"/>
      <c r="BH387" s="11"/>
      <c r="BI387" s="11"/>
      <c r="BJ387" s="11"/>
      <c r="BK387" s="11"/>
    </row>
    <row r="388" ht="15.75" customHeight="1">
      <c r="X388" s="37"/>
      <c r="Y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BD388" s="11"/>
      <c r="BE388" s="11"/>
      <c r="BF388" s="11"/>
      <c r="BG388" s="11"/>
      <c r="BH388" s="11"/>
      <c r="BI388" s="11"/>
      <c r="BJ388" s="11"/>
      <c r="BK388" s="11"/>
    </row>
    <row r="389" ht="15.75" customHeight="1">
      <c r="X389" s="37"/>
      <c r="Y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BD389" s="11"/>
      <c r="BE389" s="11"/>
      <c r="BF389" s="11"/>
      <c r="BG389" s="11"/>
      <c r="BH389" s="11"/>
      <c r="BI389" s="11"/>
      <c r="BJ389" s="11"/>
      <c r="BK389" s="11"/>
    </row>
    <row r="390" ht="15.75" customHeight="1">
      <c r="X390" s="37"/>
      <c r="Y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BD390" s="11"/>
      <c r="BE390" s="11"/>
      <c r="BF390" s="11"/>
      <c r="BG390" s="11"/>
      <c r="BH390" s="11"/>
      <c r="BI390" s="11"/>
      <c r="BJ390" s="11"/>
      <c r="BK390" s="11"/>
    </row>
    <row r="391" ht="15.75" customHeight="1">
      <c r="X391" s="37"/>
      <c r="Y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BD391" s="11"/>
      <c r="BE391" s="11"/>
      <c r="BF391" s="11"/>
      <c r="BG391" s="11"/>
      <c r="BH391" s="11"/>
      <c r="BI391" s="11"/>
      <c r="BJ391" s="11"/>
      <c r="BK391" s="11"/>
    </row>
    <row r="392" ht="15.75" customHeight="1">
      <c r="X392" s="37"/>
      <c r="Y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BD392" s="11"/>
      <c r="BE392" s="11"/>
      <c r="BF392" s="11"/>
      <c r="BG392" s="11"/>
      <c r="BH392" s="11"/>
      <c r="BI392" s="11"/>
      <c r="BJ392" s="11"/>
      <c r="BK392" s="11"/>
    </row>
    <row r="393" ht="15.75" customHeight="1">
      <c r="X393" s="37"/>
      <c r="Y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BD393" s="11"/>
      <c r="BE393" s="11"/>
      <c r="BF393" s="11"/>
      <c r="BG393" s="11"/>
      <c r="BH393" s="11"/>
      <c r="BI393" s="11"/>
      <c r="BJ393" s="11"/>
      <c r="BK393" s="11"/>
    </row>
    <row r="394" ht="15.75" customHeight="1">
      <c r="X394" s="37"/>
      <c r="Y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BD394" s="11"/>
      <c r="BE394" s="11"/>
      <c r="BF394" s="11"/>
      <c r="BG394" s="11"/>
      <c r="BH394" s="11"/>
      <c r="BI394" s="11"/>
      <c r="BJ394" s="11"/>
      <c r="BK394" s="11"/>
    </row>
    <row r="395" ht="15.75" customHeight="1">
      <c r="X395" s="37"/>
      <c r="Y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BD395" s="11"/>
      <c r="BE395" s="11"/>
      <c r="BF395" s="11"/>
      <c r="BG395" s="11"/>
      <c r="BH395" s="11"/>
      <c r="BI395" s="11"/>
      <c r="BJ395" s="11"/>
      <c r="BK395" s="11"/>
    </row>
    <row r="396" ht="15.75" customHeight="1">
      <c r="X396" s="37"/>
      <c r="Y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BD396" s="11"/>
      <c r="BE396" s="11"/>
      <c r="BF396" s="11"/>
      <c r="BG396" s="11"/>
      <c r="BH396" s="11"/>
      <c r="BI396" s="11"/>
      <c r="BJ396" s="11"/>
      <c r="BK396" s="11"/>
    </row>
    <row r="397" ht="15.75" customHeight="1">
      <c r="X397" s="37"/>
      <c r="Y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BD397" s="11"/>
      <c r="BE397" s="11"/>
      <c r="BF397" s="11"/>
      <c r="BG397" s="11"/>
      <c r="BH397" s="11"/>
      <c r="BI397" s="11"/>
      <c r="BJ397" s="11"/>
      <c r="BK397" s="11"/>
    </row>
    <row r="398" ht="15.75" customHeight="1">
      <c r="X398" s="37"/>
      <c r="Y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BD398" s="11"/>
      <c r="BE398" s="11"/>
      <c r="BF398" s="11"/>
      <c r="BG398" s="11"/>
      <c r="BH398" s="11"/>
      <c r="BI398" s="11"/>
      <c r="BJ398" s="11"/>
      <c r="BK398" s="11"/>
    </row>
    <row r="399" ht="15.75" customHeight="1">
      <c r="X399" s="37"/>
      <c r="Y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BD399" s="11"/>
      <c r="BE399" s="11"/>
      <c r="BF399" s="11"/>
      <c r="BG399" s="11"/>
      <c r="BH399" s="11"/>
      <c r="BI399" s="11"/>
      <c r="BJ399" s="11"/>
      <c r="BK399" s="11"/>
    </row>
    <row r="400" ht="15.75" customHeight="1">
      <c r="X400" s="37"/>
      <c r="Y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BD400" s="11"/>
      <c r="BE400" s="11"/>
      <c r="BF400" s="11"/>
      <c r="BG400" s="11"/>
      <c r="BH400" s="11"/>
      <c r="BI400" s="11"/>
      <c r="BJ400" s="11"/>
      <c r="BK400" s="11"/>
    </row>
    <row r="401" ht="15.75" customHeight="1">
      <c r="X401" s="37"/>
      <c r="Y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BD401" s="11"/>
      <c r="BE401" s="11"/>
      <c r="BF401" s="11"/>
      <c r="BG401" s="11"/>
      <c r="BH401" s="11"/>
      <c r="BI401" s="11"/>
      <c r="BJ401" s="11"/>
      <c r="BK401" s="11"/>
    </row>
    <row r="402" ht="15.75" customHeight="1">
      <c r="X402" s="37"/>
      <c r="Y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BD402" s="11"/>
      <c r="BE402" s="11"/>
      <c r="BF402" s="11"/>
      <c r="BG402" s="11"/>
      <c r="BH402" s="11"/>
      <c r="BI402" s="11"/>
      <c r="BJ402" s="11"/>
      <c r="BK402" s="11"/>
    </row>
    <row r="403" ht="15.75" customHeight="1">
      <c r="X403" s="37"/>
      <c r="Y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BD403" s="11"/>
      <c r="BE403" s="11"/>
      <c r="BF403" s="11"/>
      <c r="BG403" s="11"/>
      <c r="BH403" s="11"/>
      <c r="BI403" s="11"/>
      <c r="BJ403" s="11"/>
      <c r="BK403" s="11"/>
    </row>
    <row r="404" ht="15.75" customHeight="1">
      <c r="X404" s="37"/>
      <c r="Y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BD404" s="11"/>
      <c r="BE404" s="11"/>
      <c r="BF404" s="11"/>
      <c r="BG404" s="11"/>
      <c r="BH404" s="11"/>
      <c r="BI404" s="11"/>
      <c r="BJ404" s="11"/>
      <c r="BK404" s="11"/>
    </row>
    <row r="405" ht="15.75" customHeight="1">
      <c r="X405" s="37"/>
      <c r="Y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BD405" s="11"/>
      <c r="BE405" s="11"/>
      <c r="BF405" s="11"/>
      <c r="BG405" s="11"/>
      <c r="BH405" s="11"/>
      <c r="BI405" s="11"/>
      <c r="BJ405" s="11"/>
      <c r="BK405" s="11"/>
    </row>
    <row r="406" ht="15.75" customHeight="1">
      <c r="X406" s="37"/>
      <c r="Y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BD406" s="11"/>
      <c r="BE406" s="11"/>
      <c r="BF406" s="11"/>
      <c r="BG406" s="11"/>
      <c r="BH406" s="11"/>
      <c r="BI406" s="11"/>
      <c r="BJ406" s="11"/>
      <c r="BK406" s="11"/>
    </row>
    <row r="407" ht="15.75" customHeight="1">
      <c r="X407" s="37"/>
      <c r="Y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BD407" s="11"/>
      <c r="BE407" s="11"/>
      <c r="BF407" s="11"/>
      <c r="BG407" s="11"/>
      <c r="BH407" s="11"/>
      <c r="BI407" s="11"/>
      <c r="BJ407" s="11"/>
      <c r="BK407" s="11"/>
    </row>
    <row r="408" ht="15.75" customHeight="1">
      <c r="X408" s="37"/>
      <c r="Y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BD408" s="11"/>
      <c r="BE408" s="11"/>
      <c r="BF408" s="11"/>
      <c r="BG408" s="11"/>
      <c r="BH408" s="11"/>
      <c r="BI408" s="11"/>
      <c r="BJ408" s="11"/>
      <c r="BK408" s="11"/>
    </row>
    <row r="409" ht="15.75" customHeight="1">
      <c r="X409" s="37"/>
      <c r="Y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BD409" s="11"/>
      <c r="BE409" s="11"/>
      <c r="BF409" s="11"/>
      <c r="BG409" s="11"/>
      <c r="BH409" s="11"/>
      <c r="BI409" s="11"/>
      <c r="BJ409" s="11"/>
      <c r="BK409" s="11"/>
    </row>
    <row r="410" ht="15.75" customHeight="1">
      <c r="X410" s="37"/>
      <c r="Y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BD410" s="11"/>
      <c r="BE410" s="11"/>
      <c r="BF410" s="11"/>
      <c r="BG410" s="11"/>
      <c r="BH410" s="11"/>
      <c r="BI410" s="11"/>
      <c r="BJ410" s="11"/>
      <c r="BK410" s="11"/>
    </row>
    <row r="411" ht="15.75" customHeight="1">
      <c r="X411" s="37"/>
      <c r="Y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BD411" s="11"/>
      <c r="BE411" s="11"/>
      <c r="BF411" s="11"/>
      <c r="BG411" s="11"/>
      <c r="BH411" s="11"/>
      <c r="BI411" s="11"/>
      <c r="BJ411" s="11"/>
      <c r="BK411" s="11"/>
    </row>
    <row r="412" ht="15.75" customHeight="1">
      <c r="X412" s="37"/>
      <c r="Y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BD412" s="11"/>
      <c r="BE412" s="11"/>
      <c r="BF412" s="11"/>
      <c r="BG412" s="11"/>
      <c r="BH412" s="11"/>
      <c r="BI412" s="11"/>
      <c r="BJ412" s="11"/>
      <c r="BK412" s="11"/>
    </row>
    <row r="413" ht="15.75" customHeight="1">
      <c r="X413" s="37"/>
      <c r="Y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BD413" s="11"/>
      <c r="BE413" s="11"/>
      <c r="BF413" s="11"/>
      <c r="BG413" s="11"/>
      <c r="BH413" s="11"/>
      <c r="BI413" s="11"/>
      <c r="BJ413" s="11"/>
      <c r="BK413" s="11"/>
    </row>
    <row r="414" ht="15.75" customHeight="1">
      <c r="X414" s="37"/>
      <c r="Y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BD414" s="11"/>
      <c r="BE414" s="11"/>
      <c r="BF414" s="11"/>
      <c r="BG414" s="11"/>
      <c r="BH414" s="11"/>
      <c r="BI414" s="11"/>
      <c r="BJ414" s="11"/>
      <c r="BK414" s="11"/>
    </row>
    <row r="415" ht="15.75" customHeight="1">
      <c r="X415" s="37"/>
      <c r="Y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BD415" s="11"/>
      <c r="BE415" s="11"/>
      <c r="BF415" s="11"/>
      <c r="BG415" s="11"/>
      <c r="BH415" s="11"/>
      <c r="BI415" s="11"/>
      <c r="BJ415" s="11"/>
      <c r="BK415" s="11"/>
    </row>
    <row r="416" ht="15.75" customHeight="1">
      <c r="X416" s="37"/>
      <c r="Y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BD416" s="11"/>
      <c r="BE416" s="11"/>
      <c r="BF416" s="11"/>
      <c r="BG416" s="11"/>
      <c r="BH416" s="11"/>
      <c r="BI416" s="11"/>
      <c r="BJ416" s="11"/>
      <c r="BK416" s="11"/>
    </row>
    <row r="417" ht="15.75" customHeight="1">
      <c r="X417" s="37"/>
      <c r="Y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BD417" s="11"/>
      <c r="BE417" s="11"/>
      <c r="BF417" s="11"/>
      <c r="BG417" s="11"/>
      <c r="BH417" s="11"/>
      <c r="BI417" s="11"/>
      <c r="BJ417" s="11"/>
      <c r="BK417" s="11"/>
    </row>
    <row r="418" ht="15.75" customHeight="1">
      <c r="X418" s="37"/>
      <c r="Y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BD418" s="11"/>
      <c r="BE418" s="11"/>
      <c r="BF418" s="11"/>
      <c r="BG418" s="11"/>
      <c r="BH418" s="11"/>
      <c r="BI418" s="11"/>
      <c r="BJ418" s="11"/>
      <c r="BK418" s="11"/>
    </row>
    <row r="419" ht="15.75" customHeight="1">
      <c r="X419" s="37"/>
      <c r="Y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BD419" s="11"/>
      <c r="BE419" s="11"/>
      <c r="BF419" s="11"/>
      <c r="BG419" s="11"/>
      <c r="BH419" s="11"/>
      <c r="BI419" s="11"/>
      <c r="BJ419" s="11"/>
      <c r="BK419" s="11"/>
    </row>
    <row r="420" ht="15.75" customHeight="1">
      <c r="X420" s="37"/>
      <c r="Y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BD420" s="11"/>
      <c r="BE420" s="11"/>
      <c r="BF420" s="11"/>
      <c r="BG420" s="11"/>
      <c r="BH420" s="11"/>
      <c r="BI420" s="11"/>
      <c r="BJ420" s="11"/>
      <c r="BK420" s="11"/>
    </row>
    <row r="421" ht="15.75" customHeight="1">
      <c r="X421" s="37"/>
      <c r="Y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BD421" s="11"/>
      <c r="BE421" s="11"/>
      <c r="BF421" s="11"/>
      <c r="BG421" s="11"/>
      <c r="BH421" s="11"/>
      <c r="BI421" s="11"/>
      <c r="BJ421" s="11"/>
      <c r="BK421" s="11"/>
    </row>
    <row r="422" ht="15.75" customHeight="1">
      <c r="X422" s="37"/>
      <c r="Y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BD422" s="11"/>
      <c r="BE422" s="11"/>
      <c r="BF422" s="11"/>
      <c r="BG422" s="11"/>
      <c r="BH422" s="11"/>
      <c r="BI422" s="11"/>
      <c r="BJ422" s="11"/>
      <c r="BK422" s="11"/>
    </row>
    <row r="423" ht="15.75" customHeight="1">
      <c r="X423" s="37"/>
      <c r="Y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BD423" s="11"/>
      <c r="BE423" s="11"/>
      <c r="BF423" s="11"/>
      <c r="BG423" s="11"/>
      <c r="BH423" s="11"/>
      <c r="BI423" s="11"/>
      <c r="BJ423" s="11"/>
      <c r="BK423" s="11"/>
    </row>
    <row r="424" ht="15.75" customHeight="1">
      <c r="X424" s="37"/>
      <c r="Y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BD424" s="11"/>
      <c r="BE424" s="11"/>
      <c r="BF424" s="11"/>
      <c r="BG424" s="11"/>
      <c r="BH424" s="11"/>
      <c r="BI424" s="11"/>
      <c r="BJ424" s="11"/>
      <c r="BK424" s="11"/>
    </row>
    <row r="425" ht="15.75" customHeight="1">
      <c r="X425" s="37"/>
      <c r="Y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BD425" s="11"/>
      <c r="BE425" s="11"/>
      <c r="BF425" s="11"/>
      <c r="BG425" s="11"/>
      <c r="BH425" s="11"/>
      <c r="BI425" s="11"/>
      <c r="BJ425" s="11"/>
      <c r="BK425" s="11"/>
    </row>
    <row r="426" ht="15.75" customHeight="1">
      <c r="X426" s="37"/>
      <c r="Y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BD426" s="11"/>
      <c r="BE426" s="11"/>
      <c r="BF426" s="11"/>
      <c r="BG426" s="11"/>
      <c r="BH426" s="11"/>
      <c r="BI426" s="11"/>
      <c r="BJ426" s="11"/>
      <c r="BK426" s="11"/>
    </row>
    <row r="427" ht="15.75" customHeight="1">
      <c r="X427" s="37"/>
      <c r="Y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BD427" s="11"/>
      <c r="BE427" s="11"/>
      <c r="BF427" s="11"/>
      <c r="BG427" s="11"/>
      <c r="BH427" s="11"/>
      <c r="BI427" s="11"/>
      <c r="BJ427" s="11"/>
      <c r="BK427" s="11"/>
    </row>
    <row r="428" ht="15.75" customHeight="1">
      <c r="X428" s="37"/>
      <c r="Y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BD428" s="11"/>
      <c r="BE428" s="11"/>
      <c r="BF428" s="11"/>
      <c r="BG428" s="11"/>
      <c r="BH428" s="11"/>
      <c r="BI428" s="11"/>
      <c r="BJ428" s="11"/>
      <c r="BK428" s="11"/>
    </row>
    <row r="429" ht="15.75" customHeight="1">
      <c r="X429" s="37"/>
      <c r="Y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BD429" s="11"/>
      <c r="BE429" s="11"/>
      <c r="BF429" s="11"/>
      <c r="BG429" s="11"/>
      <c r="BH429" s="11"/>
      <c r="BI429" s="11"/>
      <c r="BJ429" s="11"/>
      <c r="BK429" s="11"/>
    </row>
    <row r="430" ht="15.75" customHeight="1">
      <c r="X430" s="37"/>
      <c r="Y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BD430" s="11"/>
      <c r="BE430" s="11"/>
      <c r="BF430" s="11"/>
      <c r="BG430" s="11"/>
      <c r="BH430" s="11"/>
      <c r="BI430" s="11"/>
      <c r="BJ430" s="11"/>
      <c r="BK430" s="11"/>
    </row>
    <row r="431" ht="15.75" customHeight="1">
      <c r="X431" s="37"/>
      <c r="Y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BD431" s="11"/>
      <c r="BE431" s="11"/>
      <c r="BF431" s="11"/>
      <c r="BG431" s="11"/>
      <c r="BH431" s="11"/>
      <c r="BI431" s="11"/>
      <c r="BJ431" s="11"/>
      <c r="BK431" s="11"/>
    </row>
    <row r="432" ht="15.75" customHeight="1">
      <c r="X432" s="37"/>
      <c r="Y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BD432" s="11"/>
      <c r="BE432" s="11"/>
      <c r="BF432" s="11"/>
      <c r="BG432" s="11"/>
      <c r="BH432" s="11"/>
      <c r="BI432" s="11"/>
      <c r="BJ432" s="11"/>
      <c r="BK432" s="11"/>
    </row>
    <row r="433" ht="15.75" customHeight="1">
      <c r="X433" s="37"/>
      <c r="Y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BD433" s="11"/>
      <c r="BE433" s="11"/>
      <c r="BF433" s="11"/>
      <c r="BG433" s="11"/>
      <c r="BH433" s="11"/>
      <c r="BI433" s="11"/>
      <c r="BJ433" s="11"/>
      <c r="BK433" s="11"/>
    </row>
    <row r="434" ht="15.75" customHeight="1">
      <c r="X434" s="37"/>
      <c r="Y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BD434" s="11"/>
      <c r="BE434" s="11"/>
      <c r="BF434" s="11"/>
      <c r="BG434" s="11"/>
      <c r="BH434" s="11"/>
      <c r="BI434" s="11"/>
      <c r="BJ434" s="11"/>
      <c r="BK434" s="11"/>
    </row>
    <row r="435" ht="15.75" customHeight="1">
      <c r="X435" s="37"/>
      <c r="Y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BD435" s="11"/>
      <c r="BE435" s="11"/>
      <c r="BF435" s="11"/>
      <c r="BG435" s="11"/>
      <c r="BH435" s="11"/>
      <c r="BI435" s="11"/>
      <c r="BJ435" s="11"/>
      <c r="BK435" s="11"/>
    </row>
    <row r="436" ht="15.75" customHeight="1">
      <c r="X436" s="37"/>
      <c r="Y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BD436" s="11"/>
      <c r="BE436" s="11"/>
      <c r="BF436" s="11"/>
      <c r="BG436" s="11"/>
      <c r="BH436" s="11"/>
      <c r="BI436" s="11"/>
      <c r="BJ436" s="11"/>
      <c r="BK436" s="11"/>
    </row>
    <row r="437" ht="15.75" customHeight="1">
      <c r="X437" s="37"/>
      <c r="Y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BD437" s="11"/>
      <c r="BE437" s="11"/>
      <c r="BF437" s="11"/>
      <c r="BG437" s="11"/>
      <c r="BH437" s="11"/>
      <c r="BI437" s="11"/>
      <c r="BJ437" s="11"/>
      <c r="BK437" s="11"/>
    </row>
    <row r="438" ht="15.75" customHeight="1">
      <c r="X438" s="37"/>
      <c r="Y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BD438" s="11"/>
      <c r="BE438" s="11"/>
      <c r="BF438" s="11"/>
      <c r="BG438" s="11"/>
      <c r="BH438" s="11"/>
      <c r="BI438" s="11"/>
      <c r="BJ438" s="11"/>
      <c r="BK438" s="11"/>
    </row>
    <row r="439" ht="15.75" customHeight="1">
      <c r="X439" s="37"/>
      <c r="Y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BD439" s="11"/>
      <c r="BE439" s="11"/>
      <c r="BF439" s="11"/>
      <c r="BG439" s="11"/>
      <c r="BH439" s="11"/>
      <c r="BI439" s="11"/>
      <c r="BJ439" s="11"/>
      <c r="BK439" s="11"/>
    </row>
    <row r="440" ht="15.75" customHeight="1">
      <c r="X440" s="37"/>
      <c r="Y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BD440" s="11"/>
      <c r="BE440" s="11"/>
      <c r="BF440" s="11"/>
      <c r="BG440" s="11"/>
      <c r="BH440" s="11"/>
      <c r="BI440" s="11"/>
      <c r="BJ440" s="11"/>
      <c r="BK440" s="11"/>
    </row>
    <row r="441" ht="15.75" customHeight="1">
      <c r="X441" s="37"/>
      <c r="Y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BD441" s="11"/>
      <c r="BE441" s="11"/>
      <c r="BF441" s="11"/>
      <c r="BG441" s="11"/>
      <c r="BH441" s="11"/>
      <c r="BI441" s="11"/>
      <c r="BJ441" s="11"/>
      <c r="BK441" s="11"/>
    </row>
    <row r="442" ht="15.75" customHeight="1">
      <c r="X442" s="37"/>
      <c r="Y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BD442" s="11"/>
      <c r="BE442" s="11"/>
      <c r="BF442" s="11"/>
      <c r="BG442" s="11"/>
      <c r="BH442" s="11"/>
      <c r="BI442" s="11"/>
      <c r="BJ442" s="11"/>
      <c r="BK442" s="11"/>
    </row>
    <row r="443" ht="15.75" customHeight="1">
      <c r="X443" s="37"/>
      <c r="Y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BD443" s="11"/>
      <c r="BE443" s="11"/>
      <c r="BF443" s="11"/>
      <c r="BG443" s="11"/>
      <c r="BH443" s="11"/>
      <c r="BI443" s="11"/>
      <c r="BJ443" s="11"/>
      <c r="BK443" s="11"/>
    </row>
    <row r="444" ht="15.75" customHeight="1">
      <c r="X444" s="37"/>
      <c r="Y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BD444" s="11"/>
      <c r="BE444" s="11"/>
      <c r="BF444" s="11"/>
      <c r="BG444" s="11"/>
      <c r="BH444" s="11"/>
      <c r="BI444" s="11"/>
      <c r="BJ444" s="11"/>
      <c r="BK444" s="11"/>
    </row>
    <row r="445" ht="15.75" customHeight="1">
      <c r="X445" s="37"/>
      <c r="Y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BD445" s="11"/>
      <c r="BE445" s="11"/>
      <c r="BF445" s="11"/>
      <c r="BG445" s="11"/>
      <c r="BH445" s="11"/>
      <c r="BI445" s="11"/>
      <c r="BJ445" s="11"/>
      <c r="BK445" s="11"/>
    </row>
    <row r="446" ht="15.75" customHeight="1">
      <c r="X446" s="37"/>
      <c r="Y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BD446" s="11"/>
      <c r="BE446" s="11"/>
      <c r="BF446" s="11"/>
      <c r="BG446" s="11"/>
      <c r="BH446" s="11"/>
      <c r="BI446" s="11"/>
      <c r="BJ446" s="11"/>
      <c r="BK446" s="11"/>
    </row>
    <row r="447" ht="15.75" customHeight="1">
      <c r="X447" s="37"/>
      <c r="Y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BD447" s="11"/>
      <c r="BE447" s="11"/>
      <c r="BF447" s="11"/>
      <c r="BG447" s="11"/>
      <c r="BH447" s="11"/>
      <c r="BI447" s="11"/>
      <c r="BJ447" s="11"/>
      <c r="BK447" s="11"/>
    </row>
    <row r="448" ht="15.75" customHeight="1">
      <c r="X448" s="37"/>
      <c r="Y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BD448" s="11"/>
      <c r="BE448" s="11"/>
      <c r="BF448" s="11"/>
      <c r="BG448" s="11"/>
      <c r="BH448" s="11"/>
      <c r="BI448" s="11"/>
      <c r="BJ448" s="11"/>
      <c r="BK448" s="11"/>
    </row>
    <row r="449" ht="15.75" customHeight="1">
      <c r="X449" s="37"/>
      <c r="Y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BD449" s="11"/>
      <c r="BE449" s="11"/>
      <c r="BF449" s="11"/>
      <c r="BG449" s="11"/>
      <c r="BH449" s="11"/>
      <c r="BI449" s="11"/>
      <c r="BJ449" s="11"/>
      <c r="BK449" s="11"/>
    </row>
    <row r="450" ht="15.75" customHeight="1">
      <c r="X450" s="37"/>
      <c r="Y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BD450" s="11"/>
      <c r="BE450" s="11"/>
      <c r="BF450" s="11"/>
      <c r="BG450" s="11"/>
      <c r="BH450" s="11"/>
      <c r="BI450" s="11"/>
      <c r="BJ450" s="11"/>
      <c r="BK450" s="11"/>
    </row>
    <row r="451" ht="15.75" customHeight="1">
      <c r="X451" s="37"/>
      <c r="Y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BD451" s="11"/>
      <c r="BE451" s="11"/>
      <c r="BF451" s="11"/>
      <c r="BG451" s="11"/>
      <c r="BH451" s="11"/>
      <c r="BI451" s="11"/>
      <c r="BJ451" s="11"/>
      <c r="BK451" s="11"/>
    </row>
    <row r="452" ht="15.75" customHeight="1">
      <c r="X452" s="37"/>
      <c r="Y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BD452" s="11"/>
      <c r="BE452" s="11"/>
      <c r="BF452" s="11"/>
      <c r="BG452" s="11"/>
      <c r="BH452" s="11"/>
      <c r="BI452" s="11"/>
      <c r="BJ452" s="11"/>
      <c r="BK452" s="11"/>
    </row>
    <row r="453" ht="15.75" customHeight="1">
      <c r="X453" s="37"/>
      <c r="Y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BD453" s="11"/>
      <c r="BE453" s="11"/>
      <c r="BF453" s="11"/>
      <c r="BG453" s="11"/>
      <c r="BH453" s="11"/>
      <c r="BI453" s="11"/>
      <c r="BJ453" s="11"/>
      <c r="BK453" s="11"/>
    </row>
    <row r="454" ht="15.75" customHeight="1">
      <c r="X454" s="37"/>
      <c r="Y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BD454" s="11"/>
      <c r="BE454" s="11"/>
      <c r="BF454" s="11"/>
      <c r="BG454" s="11"/>
      <c r="BH454" s="11"/>
      <c r="BI454" s="11"/>
      <c r="BJ454" s="11"/>
      <c r="BK454" s="11"/>
    </row>
    <row r="455" ht="15.75" customHeight="1">
      <c r="X455" s="37"/>
      <c r="Y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BD455" s="11"/>
      <c r="BE455" s="11"/>
      <c r="BF455" s="11"/>
      <c r="BG455" s="11"/>
      <c r="BH455" s="11"/>
      <c r="BI455" s="11"/>
      <c r="BJ455" s="11"/>
      <c r="BK455" s="11"/>
    </row>
    <row r="456" ht="15.75" customHeight="1">
      <c r="X456" s="37"/>
      <c r="Y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BD456" s="11"/>
      <c r="BE456" s="11"/>
      <c r="BF456" s="11"/>
      <c r="BG456" s="11"/>
      <c r="BH456" s="11"/>
      <c r="BI456" s="11"/>
      <c r="BJ456" s="11"/>
      <c r="BK456" s="11"/>
    </row>
    <row r="457" ht="15.75" customHeight="1">
      <c r="X457" s="37"/>
      <c r="Y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BD457" s="11"/>
      <c r="BE457" s="11"/>
      <c r="BF457" s="11"/>
      <c r="BG457" s="11"/>
      <c r="BH457" s="11"/>
      <c r="BI457" s="11"/>
      <c r="BJ457" s="11"/>
      <c r="BK457" s="11"/>
    </row>
    <row r="458" ht="15.75" customHeight="1">
      <c r="X458" s="37"/>
      <c r="Y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BD458" s="11"/>
      <c r="BE458" s="11"/>
      <c r="BF458" s="11"/>
      <c r="BG458" s="11"/>
      <c r="BH458" s="11"/>
      <c r="BI458" s="11"/>
      <c r="BJ458" s="11"/>
      <c r="BK458" s="11"/>
    </row>
    <row r="459" ht="15.75" customHeight="1">
      <c r="X459" s="37"/>
      <c r="Y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BD459" s="11"/>
      <c r="BE459" s="11"/>
      <c r="BF459" s="11"/>
      <c r="BG459" s="11"/>
      <c r="BH459" s="11"/>
      <c r="BI459" s="11"/>
      <c r="BJ459" s="11"/>
      <c r="BK459" s="11"/>
    </row>
    <row r="460" ht="15.75" customHeight="1">
      <c r="X460" s="37"/>
      <c r="Y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BD460" s="11"/>
      <c r="BE460" s="11"/>
      <c r="BF460" s="11"/>
      <c r="BG460" s="11"/>
      <c r="BH460" s="11"/>
      <c r="BI460" s="11"/>
      <c r="BJ460" s="11"/>
      <c r="BK460" s="11"/>
    </row>
    <row r="461" ht="15.75" customHeight="1">
      <c r="X461" s="37"/>
      <c r="Y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BD461" s="11"/>
      <c r="BE461" s="11"/>
      <c r="BF461" s="11"/>
      <c r="BG461" s="11"/>
      <c r="BH461" s="11"/>
      <c r="BI461" s="11"/>
      <c r="BJ461" s="11"/>
      <c r="BK461" s="11"/>
    </row>
    <row r="462" ht="15.75" customHeight="1">
      <c r="X462" s="37"/>
      <c r="Y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BD462" s="11"/>
      <c r="BE462" s="11"/>
      <c r="BF462" s="11"/>
      <c r="BG462" s="11"/>
      <c r="BH462" s="11"/>
      <c r="BI462" s="11"/>
      <c r="BJ462" s="11"/>
      <c r="BK462" s="11"/>
    </row>
    <row r="463" ht="15.75" customHeight="1">
      <c r="X463" s="37"/>
      <c r="Y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BD463" s="11"/>
      <c r="BE463" s="11"/>
      <c r="BF463" s="11"/>
      <c r="BG463" s="11"/>
      <c r="BH463" s="11"/>
      <c r="BI463" s="11"/>
      <c r="BJ463" s="11"/>
      <c r="BK463" s="11"/>
    </row>
    <row r="464" ht="15.75" customHeight="1">
      <c r="X464" s="37"/>
      <c r="Y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BD464" s="11"/>
      <c r="BE464" s="11"/>
      <c r="BF464" s="11"/>
      <c r="BG464" s="11"/>
      <c r="BH464" s="11"/>
      <c r="BI464" s="11"/>
      <c r="BJ464" s="11"/>
      <c r="BK464" s="11"/>
    </row>
    <row r="465" ht="15.75" customHeight="1">
      <c r="X465" s="37"/>
      <c r="Y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BD465" s="11"/>
      <c r="BE465" s="11"/>
      <c r="BF465" s="11"/>
      <c r="BG465" s="11"/>
      <c r="BH465" s="11"/>
      <c r="BI465" s="11"/>
      <c r="BJ465" s="11"/>
      <c r="BK465" s="11"/>
    </row>
    <row r="466" ht="15.75" customHeight="1">
      <c r="X466" s="37"/>
      <c r="Y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BD466" s="11"/>
      <c r="BE466" s="11"/>
      <c r="BF466" s="11"/>
      <c r="BG466" s="11"/>
      <c r="BH466" s="11"/>
      <c r="BI466" s="11"/>
      <c r="BJ466" s="11"/>
      <c r="BK466" s="11"/>
    </row>
    <row r="467" ht="15.75" customHeight="1">
      <c r="X467" s="37"/>
      <c r="Y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BD467" s="11"/>
      <c r="BE467" s="11"/>
      <c r="BF467" s="11"/>
      <c r="BG467" s="11"/>
      <c r="BH467" s="11"/>
      <c r="BI467" s="11"/>
      <c r="BJ467" s="11"/>
      <c r="BK467" s="11"/>
    </row>
    <row r="468" ht="15.75" customHeight="1">
      <c r="X468" s="37"/>
      <c r="Y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BD468" s="11"/>
      <c r="BE468" s="11"/>
      <c r="BF468" s="11"/>
      <c r="BG468" s="11"/>
      <c r="BH468" s="11"/>
      <c r="BI468" s="11"/>
      <c r="BJ468" s="11"/>
      <c r="BK468" s="11"/>
    </row>
    <row r="469" ht="15.75" customHeight="1">
      <c r="X469" s="37"/>
      <c r="Y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BD469" s="11"/>
      <c r="BE469" s="11"/>
      <c r="BF469" s="11"/>
      <c r="BG469" s="11"/>
      <c r="BH469" s="11"/>
      <c r="BI469" s="11"/>
      <c r="BJ469" s="11"/>
      <c r="BK469" s="11"/>
    </row>
    <row r="470" ht="15.75" customHeight="1">
      <c r="X470" s="37"/>
      <c r="Y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BD470" s="11"/>
      <c r="BE470" s="11"/>
      <c r="BF470" s="11"/>
      <c r="BG470" s="11"/>
      <c r="BH470" s="11"/>
      <c r="BI470" s="11"/>
      <c r="BJ470" s="11"/>
      <c r="BK470" s="11"/>
    </row>
    <row r="471" ht="15.75" customHeight="1">
      <c r="X471" s="37"/>
      <c r="Y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BD471" s="11"/>
      <c r="BE471" s="11"/>
      <c r="BF471" s="11"/>
      <c r="BG471" s="11"/>
      <c r="BH471" s="11"/>
      <c r="BI471" s="11"/>
      <c r="BJ471" s="11"/>
      <c r="BK471" s="11"/>
    </row>
    <row r="472" ht="15.75" customHeight="1">
      <c r="X472" s="37"/>
      <c r="Y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BD472" s="11"/>
      <c r="BE472" s="11"/>
      <c r="BF472" s="11"/>
      <c r="BG472" s="11"/>
      <c r="BH472" s="11"/>
      <c r="BI472" s="11"/>
      <c r="BJ472" s="11"/>
      <c r="BK472" s="11"/>
    </row>
    <row r="473" ht="15.75" customHeight="1">
      <c r="X473" s="37"/>
      <c r="Y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BD473" s="11"/>
      <c r="BE473" s="11"/>
      <c r="BF473" s="11"/>
      <c r="BG473" s="11"/>
      <c r="BH473" s="11"/>
      <c r="BI473" s="11"/>
      <c r="BJ473" s="11"/>
      <c r="BK473" s="11"/>
    </row>
    <row r="474" ht="15.75" customHeight="1">
      <c r="X474" s="37"/>
      <c r="Y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BD474" s="11"/>
      <c r="BE474" s="11"/>
      <c r="BF474" s="11"/>
      <c r="BG474" s="11"/>
      <c r="BH474" s="11"/>
      <c r="BI474" s="11"/>
      <c r="BJ474" s="11"/>
      <c r="BK474" s="11"/>
    </row>
    <row r="475" ht="15.75" customHeight="1">
      <c r="X475" s="37"/>
      <c r="Y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BD475" s="11"/>
      <c r="BE475" s="11"/>
      <c r="BF475" s="11"/>
      <c r="BG475" s="11"/>
      <c r="BH475" s="11"/>
      <c r="BI475" s="11"/>
      <c r="BJ475" s="11"/>
      <c r="BK475" s="11"/>
    </row>
    <row r="476" ht="15.75" customHeight="1">
      <c r="X476" s="37"/>
      <c r="Y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BD476" s="11"/>
      <c r="BE476" s="11"/>
      <c r="BF476" s="11"/>
      <c r="BG476" s="11"/>
      <c r="BH476" s="11"/>
      <c r="BI476" s="11"/>
      <c r="BJ476" s="11"/>
      <c r="BK476" s="11"/>
    </row>
    <row r="477" ht="15.75" customHeight="1">
      <c r="X477" s="37"/>
      <c r="Y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BD477" s="11"/>
      <c r="BE477" s="11"/>
      <c r="BF477" s="11"/>
      <c r="BG477" s="11"/>
      <c r="BH477" s="11"/>
      <c r="BI477" s="11"/>
      <c r="BJ477" s="11"/>
      <c r="BK477" s="11"/>
    </row>
    <row r="478" ht="15.75" customHeight="1">
      <c r="X478" s="37"/>
      <c r="Y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BD478" s="11"/>
      <c r="BE478" s="11"/>
      <c r="BF478" s="11"/>
      <c r="BG478" s="11"/>
      <c r="BH478" s="11"/>
      <c r="BI478" s="11"/>
      <c r="BJ478" s="11"/>
      <c r="BK478" s="11"/>
    </row>
    <row r="479" ht="15.75" customHeight="1">
      <c r="X479" s="37"/>
      <c r="Y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BD479" s="11"/>
      <c r="BE479" s="11"/>
      <c r="BF479" s="11"/>
      <c r="BG479" s="11"/>
      <c r="BH479" s="11"/>
      <c r="BI479" s="11"/>
      <c r="BJ479" s="11"/>
      <c r="BK479" s="11"/>
    </row>
    <row r="480" ht="15.75" customHeight="1">
      <c r="X480" s="37"/>
      <c r="Y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BD480" s="11"/>
      <c r="BE480" s="11"/>
      <c r="BF480" s="11"/>
      <c r="BG480" s="11"/>
      <c r="BH480" s="11"/>
      <c r="BI480" s="11"/>
      <c r="BJ480" s="11"/>
      <c r="BK480" s="11"/>
    </row>
    <row r="481" ht="15.75" customHeight="1">
      <c r="X481" s="37"/>
      <c r="Y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BD481" s="11"/>
      <c r="BE481" s="11"/>
      <c r="BF481" s="11"/>
      <c r="BG481" s="11"/>
      <c r="BH481" s="11"/>
      <c r="BI481" s="11"/>
      <c r="BJ481" s="11"/>
      <c r="BK481" s="11"/>
    </row>
    <row r="482" ht="15.75" customHeight="1">
      <c r="X482" s="37"/>
      <c r="Y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BD482" s="11"/>
      <c r="BE482" s="11"/>
      <c r="BF482" s="11"/>
      <c r="BG482" s="11"/>
      <c r="BH482" s="11"/>
      <c r="BI482" s="11"/>
      <c r="BJ482" s="11"/>
      <c r="BK482" s="11"/>
    </row>
    <row r="483" ht="15.75" customHeight="1">
      <c r="X483" s="37"/>
      <c r="Y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BD483" s="11"/>
      <c r="BE483" s="11"/>
      <c r="BF483" s="11"/>
      <c r="BG483" s="11"/>
      <c r="BH483" s="11"/>
      <c r="BI483" s="11"/>
      <c r="BJ483" s="11"/>
      <c r="BK483" s="11"/>
    </row>
    <row r="484" ht="15.75" customHeight="1">
      <c r="X484" s="37"/>
      <c r="Y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BD484" s="11"/>
      <c r="BE484" s="11"/>
      <c r="BF484" s="11"/>
      <c r="BG484" s="11"/>
      <c r="BH484" s="11"/>
      <c r="BI484" s="11"/>
      <c r="BJ484" s="11"/>
      <c r="BK484" s="11"/>
    </row>
    <row r="485" ht="15.75" customHeight="1">
      <c r="X485" s="37"/>
      <c r="Y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BD485" s="11"/>
      <c r="BE485" s="11"/>
      <c r="BF485" s="11"/>
      <c r="BG485" s="11"/>
      <c r="BH485" s="11"/>
      <c r="BI485" s="11"/>
      <c r="BJ485" s="11"/>
      <c r="BK485" s="11"/>
    </row>
    <row r="486" ht="15.75" customHeight="1">
      <c r="X486" s="37"/>
      <c r="Y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BD486" s="11"/>
      <c r="BE486" s="11"/>
      <c r="BF486" s="11"/>
      <c r="BG486" s="11"/>
      <c r="BH486" s="11"/>
      <c r="BI486" s="11"/>
      <c r="BJ486" s="11"/>
      <c r="BK486" s="11"/>
    </row>
    <row r="487" ht="15.75" customHeight="1">
      <c r="X487" s="37"/>
      <c r="Y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BD487" s="11"/>
      <c r="BE487" s="11"/>
      <c r="BF487" s="11"/>
      <c r="BG487" s="11"/>
      <c r="BH487" s="11"/>
      <c r="BI487" s="11"/>
      <c r="BJ487" s="11"/>
      <c r="BK487" s="11"/>
    </row>
    <row r="488" ht="15.75" customHeight="1">
      <c r="X488" s="37"/>
      <c r="Y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BD488" s="11"/>
      <c r="BE488" s="11"/>
      <c r="BF488" s="11"/>
      <c r="BG488" s="11"/>
      <c r="BH488" s="11"/>
      <c r="BI488" s="11"/>
      <c r="BJ488" s="11"/>
      <c r="BK488" s="11"/>
    </row>
    <row r="489" ht="15.75" customHeight="1">
      <c r="X489" s="37"/>
      <c r="Y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BD489" s="11"/>
      <c r="BE489" s="11"/>
      <c r="BF489" s="11"/>
      <c r="BG489" s="11"/>
      <c r="BH489" s="11"/>
      <c r="BI489" s="11"/>
      <c r="BJ489" s="11"/>
      <c r="BK489" s="11"/>
    </row>
    <row r="490" ht="15.75" customHeight="1">
      <c r="X490" s="37"/>
      <c r="Y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BD490" s="11"/>
      <c r="BE490" s="11"/>
      <c r="BF490" s="11"/>
      <c r="BG490" s="11"/>
      <c r="BH490" s="11"/>
      <c r="BI490" s="11"/>
      <c r="BJ490" s="11"/>
      <c r="BK490" s="11"/>
    </row>
    <row r="491" ht="15.75" customHeight="1">
      <c r="X491" s="37"/>
      <c r="Y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BD491" s="11"/>
      <c r="BE491" s="11"/>
      <c r="BF491" s="11"/>
      <c r="BG491" s="11"/>
      <c r="BH491" s="11"/>
      <c r="BI491" s="11"/>
      <c r="BJ491" s="11"/>
      <c r="BK491" s="11"/>
    </row>
    <row r="492" ht="15.75" customHeight="1">
      <c r="X492" s="37"/>
      <c r="Y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BD492" s="11"/>
      <c r="BE492" s="11"/>
      <c r="BF492" s="11"/>
      <c r="BG492" s="11"/>
      <c r="BH492" s="11"/>
      <c r="BI492" s="11"/>
      <c r="BJ492" s="11"/>
      <c r="BK492" s="11"/>
    </row>
    <row r="493" ht="15.75" customHeight="1">
      <c r="X493" s="37"/>
      <c r="Y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BD493" s="11"/>
      <c r="BE493" s="11"/>
      <c r="BF493" s="11"/>
      <c r="BG493" s="11"/>
      <c r="BH493" s="11"/>
      <c r="BI493" s="11"/>
      <c r="BJ493" s="11"/>
      <c r="BK493" s="11"/>
    </row>
    <row r="494" ht="15.75" customHeight="1">
      <c r="X494" s="37"/>
      <c r="Y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BD494" s="11"/>
      <c r="BE494" s="11"/>
      <c r="BF494" s="11"/>
      <c r="BG494" s="11"/>
      <c r="BH494" s="11"/>
      <c r="BI494" s="11"/>
      <c r="BJ494" s="11"/>
      <c r="BK494" s="11"/>
    </row>
    <row r="495" ht="15.75" customHeight="1">
      <c r="X495" s="37"/>
      <c r="Y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BD495" s="11"/>
      <c r="BE495" s="11"/>
      <c r="BF495" s="11"/>
      <c r="BG495" s="11"/>
      <c r="BH495" s="11"/>
      <c r="BI495" s="11"/>
      <c r="BJ495" s="11"/>
      <c r="BK495" s="11"/>
    </row>
    <row r="496" ht="15.75" customHeight="1">
      <c r="X496" s="37"/>
      <c r="Y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BD496" s="11"/>
      <c r="BE496" s="11"/>
      <c r="BF496" s="11"/>
      <c r="BG496" s="11"/>
      <c r="BH496" s="11"/>
      <c r="BI496" s="11"/>
      <c r="BJ496" s="11"/>
      <c r="BK496" s="11"/>
    </row>
    <row r="497" ht="15.75" customHeight="1">
      <c r="X497" s="37"/>
      <c r="Y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BD497" s="11"/>
      <c r="BE497" s="11"/>
      <c r="BF497" s="11"/>
      <c r="BG497" s="11"/>
      <c r="BH497" s="11"/>
      <c r="BI497" s="11"/>
      <c r="BJ497" s="11"/>
      <c r="BK497" s="11"/>
    </row>
    <row r="498" ht="15.75" customHeight="1">
      <c r="X498" s="37"/>
      <c r="Y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BD498" s="11"/>
      <c r="BE498" s="11"/>
      <c r="BF498" s="11"/>
      <c r="BG498" s="11"/>
      <c r="BH498" s="11"/>
      <c r="BI498" s="11"/>
      <c r="BJ498" s="11"/>
      <c r="BK498" s="11"/>
    </row>
    <row r="499" ht="15.75" customHeight="1">
      <c r="X499" s="37"/>
      <c r="Y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BD499" s="11"/>
      <c r="BE499" s="11"/>
      <c r="BF499" s="11"/>
      <c r="BG499" s="11"/>
      <c r="BH499" s="11"/>
      <c r="BI499" s="11"/>
      <c r="BJ499" s="11"/>
      <c r="BK499" s="11"/>
    </row>
    <row r="500" ht="15.75" customHeight="1">
      <c r="X500" s="37"/>
      <c r="Y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BD500" s="11"/>
      <c r="BE500" s="11"/>
      <c r="BF500" s="11"/>
      <c r="BG500" s="11"/>
      <c r="BH500" s="11"/>
      <c r="BI500" s="11"/>
      <c r="BJ500" s="11"/>
      <c r="BK500" s="11"/>
    </row>
    <row r="501" ht="15.75" customHeight="1">
      <c r="X501" s="37"/>
      <c r="Y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BD501" s="11"/>
      <c r="BE501" s="11"/>
      <c r="BF501" s="11"/>
      <c r="BG501" s="11"/>
      <c r="BH501" s="11"/>
      <c r="BI501" s="11"/>
      <c r="BJ501" s="11"/>
      <c r="BK501" s="11"/>
    </row>
    <row r="502" ht="15.75" customHeight="1">
      <c r="X502" s="37"/>
      <c r="Y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BD502" s="11"/>
      <c r="BE502" s="11"/>
      <c r="BF502" s="11"/>
      <c r="BG502" s="11"/>
      <c r="BH502" s="11"/>
      <c r="BI502" s="11"/>
      <c r="BJ502" s="11"/>
      <c r="BK502" s="11"/>
    </row>
    <row r="503" ht="15.75" customHeight="1">
      <c r="X503" s="37"/>
      <c r="Y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BD503" s="11"/>
      <c r="BE503" s="11"/>
      <c r="BF503" s="11"/>
      <c r="BG503" s="11"/>
      <c r="BH503" s="11"/>
      <c r="BI503" s="11"/>
      <c r="BJ503" s="11"/>
      <c r="BK503" s="11"/>
    </row>
    <row r="504" ht="15.75" customHeight="1">
      <c r="X504" s="37"/>
      <c r="Y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BD504" s="11"/>
      <c r="BE504" s="11"/>
      <c r="BF504" s="11"/>
      <c r="BG504" s="11"/>
      <c r="BH504" s="11"/>
      <c r="BI504" s="11"/>
      <c r="BJ504" s="11"/>
      <c r="BK504" s="11"/>
    </row>
    <row r="505" ht="15.75" customHeight="1">
      <c r="X505" s="37"/>
      <c r="Y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BD505" s="11"/>
      <c r="BE505" s="11"/>
      <c r="BF505" s="11"/>
      <c r="BG505" s="11"/>
      <c r="BH505" s="11"/>
      <c r="BI505" s="11"/>
      <c r="BJ505" s="11"/>
      <c r="BK505" s="11"/>
    </row>
    <row r="506" ht="15.75" customHeight="1">
      <c r="X506" s="37"/>
      <c r="Y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BD506" s="11"/>
      <c r="BE506" s="11"/>
      <c r="BF506" s="11"/>
      <c r="BG506" s="11"/>
      <c r="BH506" s="11"/>
      <c r="BI506" s="11"/>
      <c r="BJ506" s="11"/>
      <c r="BK506" s="11"/>
    </row>
    <row r="507" ht="15.75" customHeight="1">
      <c r="X507" s="37"/>
      <c r="Y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BD507" s="11"/>
      <c r="BE507" s="11"/>
      <c r="BF507" s="11"/>
      <c r="BG507" s="11"/>
      <c r="BH507" s="11"/>
      <c r="BI507" s="11"/>
      <c r="BJ507" s="11"/>
      <c r="BK507" s="11"/>
    </row>
    <row r="508" ht="15.75" customHeight="1">
      <c r="X508" s="37"/>
      <c r="Y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BD508" s="11"/>
      <c r="BE508" s="11"/>
      <c r="BF508" s="11"/>
      <c r="BG508" s="11"/>
      <c r="BH508" s="11"/>
      <c r="BI508" s="11"/>
      <c r="BJ508" s="11"/>
      <c r="BK508" s="11"/>
    </row>
    <row r="509" ht="15.75" customHeight="1">
      <c r="X509" s="37"/>
      <c r="Y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BD509" s="11"/>
      <c r="BE509" s="11"/>
      <c r="BF509" s="11"/>
      <c r="BG509" s="11"/>
      <c r="BH509" s="11"/>
      <c r="BI509" s="11"/>
      <c r="BJ509" s="11"/>
      <c r="BK509" s="11"/>
    </row>
    <row r="510" ht="15.75" customHeight="1">
      <c r="X510" s="37"/>
      <c r="Y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BD510" s="11"/>
      <c r="BE510" s="11"/>
      <c r="BF510" s="11"/>
      <c r="BG510" s="11"/>
      <c r="BH510" s="11"/>
      <c r="BI510" s="11"/>
      <c r="BJ510" s="11"/>
      <c r="BK510" s="11"/>
    </row>
    <row r="511" ht="15.75" customHeight="1">
      <c r="X511" s="37"/>
      <c r="Y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BD511" s="11"/>
      <c r="BE511" s="11"/>
      <c r="BF511" s="11"/>
      <c r="BG511" s="11"/>
      <c r="BH511" s="11"/>
      <c r="BI511" s="11"/>
      <c r="BJ511" s="11"/>
      <c r="BK511" s="11"/>
    </row>
    <row r="512" ht="15.75" customHeight="1">
      <c r="X512" s="37"/>
      <c r="Y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BD512" s="11"/>
      <c r="BE512" s="11"/>
      <c r="BF512" s="11"/>
      <c r="BG512" s="11"/>
      <c r="BH512" s="11"/>
      <c r="BI512" s="11"/>
      <c r="BJ512" s="11"/>
      <c r="BK512" s="11"/>
    </row>
    <row r="513" ht="15.75" customHeight="1">
      <c r="X513" s="37"/>
      <c r="Y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BD513" s="11"/>
      <c r="BE513" s="11"/>
      <c r="BF513" s="11"/>
      <c r="BG513" s="11"/>
      <c r="BH513" s="11"/>
      <c r="BI513" s="11"/>
      <c r="BJ513" s="11"/>
      <c r="BK513" s="11"/>
    </row>
    <row r="514" ht="15.75" customHeight="1">
      <c r="X514" s="37"/>
      <c r="Y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BD514" s="11"/>
      <c r="BE514" s="11"/>
      <c r="BF514" s="11"/>
      <c r="BG514" s="11"/>
      <c r="BH514" s="11"/>
      <c r="BI514" s="11"/>
      <c r="BJ514" s="11"/>
      <c r="BK514" s="11"/>
    </row>
    <row r="515" ht="15.75" customHeight="1">
      <c r="X515" s="37"/>
      <c r="Y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BD515" s="11"/>
      <c r="BE515" s="11"/>
      <c r="BF515" s="11"/>
      <c r="BG515" s="11"/>
      <c r="BH515" s="11"/>
      <c r="BI515" s="11"/>
      <c r="BJ515" s="11"/>
      <c r="BK515" s="11"/>
    </row>
    <row r="516" ht="15.75" customHeight="1">
      <c r="X516" s="37"/>
      <c r="Y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BD516" s="11"/>
      <c r="BE516" s="11"/>
      <c r="BF516" s="11"/>
      <c r="BG516" s="11"/>
      <c r="BH516" s="11"/>
      <c r="BI516" s="11"/>
      <c r="BJ516" s="11"/>
      <c r="BK516" s="11"/>
    </row>
    <row r="517" ht="15.75" customHeight="1">
      <c r="X517" s="37"/>
      <c r="Y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BD517" s="11"/>
      <c r="BE517" s="11"/>
      <c r="BF517" s="11"/>
      <c r="BG517" s="11"/>
      <c r="BH517" s="11"/>
      <c r="BI517" s="11"/>
      <c r="BJ517" s="11"/>
      <c r="BK517" s="11"/>
    </row>
    <row r="518" ht="15.75" customHeight="1">
      <c r="X518" s="37"/>
      <c r="Y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BD518" s="11"/>
      <c r="BE518" s="11"/>
      <c r="BF518" s="11"/>
      <c r="BG518" s="11"/>
      <c r="BH518" s="11"/>
      <c r="BI518" s="11"/>
      <c r="BJ518" s="11"/>
      <c r="BK518" s="11"/>
    </row>
    <row r="519" ht="15.75" customHeight="1">
      <c r="X519" s="37"/>
      <c r="Y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BD519" s="11"/>
      <c r="BE519" s="11"/>
      <c r="BF519" s="11"/>
      <c r="BG519" s="11"/>
      <c r="BH519" s="11"/>
      <c r="BI519" s="11"/>
      <c r="BJ519" s="11"/>
      <c r="BK519" s="11"/>
    </row>
    <row r="520" ht="15.75" customHeight="1">
      <c r="X520" s="37"/>
      <c r="Y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BD520" s="11"/>
      <c r="BE520" s="11"/>
      <c r="BF520" s="11"/>
      <c r="BG520" s="11"/>
      <c r="BH520" s="11"/>
      <c r="BI520" s="11"/>
      <c r="BJ520" s="11"/>
      <c r="BK520" s="11"/>
    </row>
    <row r="521" ht="15.75" customHeight="1">
      <c r="X521" s="37"/>
      <c r="Y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BD521" s="11"/>
      <c r="BE521" s="11"/>
      <c r="BF521" s="11"/>
      <c r="BG521" s="11"/>
      <c r="BH521" s="11"/>
      <c r="BI521" s="11"/>
      <c r="BJ521" s="11"/>
      <c r="BK521" s="11"/>
    </row>
    <row r="522" ht="15.75" customHeight="1">
      <c r="X522" s="37"/>
      <c r="Y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BD522" s="11"/>
      <c r="BE522" s="11"/>
      <c r="BF522" s="11"/>
      <c r="BG522" s="11"/>
      <c r="BH522" s="11"/>
      <c r="BI522" s="11"/>
      <c r="BJ522" s="11"/>
      <c r="BK522" s="11"/>
    </row>
    <row r="523" ht="15.75" customHeight="1">
      <c r="X523" s="37"/>
      <c r="Y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BD523" s="11"/>
      <c r="BE523" s="11"/>
      <c r="BF523" s="11"/>
      <c r="BG523" s="11"/>
      <c r="BH523" s="11"/>
      <c r="BI523" s="11"/>
      <c r="BJ523" s="11"/>
      <c r="BK523" s="11"/>
    </row>
    <row r="524" ht="15.75" customHeight="1">
      <c r="X524" s="37"/>
      <c r="Y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BD524" s="11"/>
      <c r="BE524" s="11"/>
      <c r="BF524" s="11"/>
      <c r="BG524" s="11"/>
      <c r="BH524" s="11"/>
      <c r="BI524" s="11"/>
      <c r="BJ524" s="11"/>
      <c r="BK524" s="11"/>
    </row>
    <row r="525" ht="15.75" customHeight="1">
      <c r="X525" s="37"/>
      <c r="Y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BD525" s="11"/>
      <c r="BE525" s="11"/>
      <c r="BF525" s="11"/>
      <c r="BG525" s="11"/>
      <c r="BH525" s="11"/>
      <c r="BI525" s="11"/>
      <c r="BJ525" s="11"/>
      <c r="BK525" s="11"/>
    </row>
    <row r="526" ht="15.75" customHeight="1">
      <c r="X526" s="37"/>
      <c r="Y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BD526" s="11"/>
      <c r="BE526" s="11"/>
      <c r="BF526" s="11"/>
      <c r="BG526" s="11"/>
      <c r="BH526" s="11"/>
      <c r="BI526" s="11"/>
      <c r="BJ526" s="11"/>
      <c r="BK526" s="11"/>
    </row>
    <row r="527" ht="15.75" customHeight="1">
      <c r="X527" s="37"/>
      <c r="Y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BD527" s="11"/>
      <c r="BE527" s="11"/>
      <c r="BF527" s="11"/>
      <c r="BG527" s="11"/>
      <c r="BH527" s="11"/>
      <c r="BI527" s="11"/>
      <c r="BJ527" s="11"/>
      <c r="BK527" s="11"/>
    </row>
    <row r="528" ht="15.75" customHeight="1">
      <c r="X528" s="37"/>
      <c r="Y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BD528" s="11"/>
      <c r="BE528" s="11"/>
      <c r="BF528" s="11"/>
      <c r="BG528" s="11"/>
      <c r="BH528" s="11"/>
      <c r="BI528" s="11"/>
      <c r="BJ528" s="11"/>
      <c r="BK528" s="11"/>
    </row>
    <row r="529" ht="15.75" customHeight="1">
      <c r="X529" s="37"/>
      <c r="Y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BD529" s="11"/>
      <c r="BE529" s="11"/>
      <c r="BF529" s="11"/>
      <c r="BG529" s="11"/>
      <c r="BH529" s="11"/>
      <c r="BI529" s="11"/>
      <c r="BJ529" s="11"/>
      <c r="BK529" s="11"/>
    </row>
    <row r="530" ht="15.75" customHeight="1">
      <c r="X530" s="37"/>
      <c r="Y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BD530" s="11"/>
      <c r="BE530" s="11"/>
      <c r="BF530" s="11"/>
      <c r="BG530" s="11"/>
      <c r="BH530" s="11"/>
      <c r="BI530" s="11"/>
      <c r="BJ530" s="11"/>
      <c r="BK530" s="11"/>
    </row>
    <row r="531" ht="15.75" customHeight="1">
      <c r="X531" s="37"/>
      <c r="Y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BD531" s="11"/>
      <c r="BE531" s="11"/>
      <c r="BF531" s="11"/>
      <c r="BG531" s="11"/>
      <c r="BH531" s="11"/>
      <c r="BI531" s="11"/>
      <c r="BJ531" s="11"/>
      <c r="BK531" s="11"/>
    </row>
    <row r="532" ht="15.75" customHeight="1">
      <c r="X532" s="37"/>
      <c r="Y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BD532" s="11"/>
      <c r="BE532" s="11"/>
      <c r="BF532" s="11"/>
      <c r="BG532" s="11"/>
      <c r="BH532" s="11"/>
      <c r="BI532" s="11"/>
      <c r="BJ532" s="11"/>
      <c r="BK532" s="11"/>
    </row>
    <row r="533" ht="15.75" customHeight="1">
      <c r="X533" s="37"/>
      <c r="Y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BD533" s="11"/>
      <c r="BE533" s="11"/>
      <c r="BF533" s="11"/>
      <c r="BG533" s="11"/>
      <c r="BH533" s="11"/>
      <c r="BI533" s="11"/>
      <c r="BJ533" s="11"/>
      <c r="BK533" s="11"/>
    </row>
    <row r="534" ht="15.75" customHeight="1">
      <c r="X534" s="37"/>
      <c r="Y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BD534" s="11"/>
      <c r="BE534" s="11"/>
      <c r="BF534" s="11"/>
      <c r="BG534" s="11"/>
      <c r="BH534" s="11"/>
      <c r="BI534" s="11"/>
      <c r="BJ534" s="11"/>
      <c r="BK534" s="11"/>
    </row>
    <row r="535" ht="15.75" customHeight="1">
      <c r="X535" s="37"/>
      <c r="Y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BD535" s="11"/>
      <c r="BE535" s="11"/>
      <c r="BF535" s="11"/>
      <c r="BG535" s="11"/>
      <c r="BH535" s="11"/>
      <c r="BI535" s="11"/>
      <c r="BJ535" s="11"/>
      <c r="BK535" s="11"/>
    </row>
    <row r="536" ht="15.75" customHeight="1">
      <c r="X536" s="37"/>
      <c r="Y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BD536" s="11"/>
      <c r="BE536" s="11"/>
      <c r="BF536" s="11"/>
      <c r="BG536" s="11"/>
      <c r="BH536" s="11"/>
      <c r="BI536" s="11"/>
      <c r="BJ536" s="11"/>
      <c r="BK536" s="11"/>
    </row>
    <row r="537" ht="15.75" customHeight="1">
      <c r="X537" s="37"/>
      <c r="Y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BD537" s="11"/>
      <c r="BE537" s="11"/>
      <c r="BF537" s="11"/>
      <c r="BG537" s="11"/>
      <c r="BH537" s="11"/>
      <c r="BI537" s="11"/>
      <c r="BJ537" s="11"/>
      <c r="BK537" s="11"/>
    </row>
    <row r="538" ht="15.75" customHeight="1">
      <c r="X538" s="37"/>
      <c r="Y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BD538" s="11"/>
      <c r="BE538" s="11"/>
      <c r="BF538" s="11"/>
      <c r="BG538" s="11"/>
      <c r="BH538" s="11"/>
      <c r="BI538" s="11"/>
      <c r="BJ538" s="11"/>
      <c r="BK538" s="11"/>
    </row>
    <row r="539" ht="15.75" customHeight="1">
      <c r="X539" s="37"/>
      <c r="Y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BD539" s="11"/>
      <c r="BE539" s="11"/>
      <c r="BF539" s="11"/>
      <c r="BG539" s="11"/>
      <c r="BH539" s="11"/>
      <c r="BI539" s="11"/>
      <c r="BJ539" s="11"/>
      <c r="BK539" s="11"/>
    </row>
    <row r="540" ht="15.75" customHeight="1">
      <c r="X540" s="37"/>
      <c r="Y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BD540" s="11"/>
      <c r="BE540" s="11"/>
      <c r="BF540" s="11"/>
      <c r="BG540" s="11"/>
      <c r="BH540" s="11"/>
      <c r="BI540" s="11"/>
      <c r="BJ540" s="11"/>
      <c r="BK540" s="11"/>
    </row>
    <row r="541" ht="15.75" customHeight="1">
      <c r="X541" s="37"/>
      <c r="Y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BD541" s="11"/>
      <c r="BE541" s="11"/>
      <c r="BF541" s="11"/>
      <c r="BG541" s="11"/>
      <c r="BH541" s="11"/>
      <c r="BI541" s="11"/>
      <c r="BJ541" s="11"/>
      <c r="BK541" s="11"/>
    </row>
    <row r="542" ht="15.75" customHeight="1">
      <c r="X542" s="37"/>
      <c r="Y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BD542" s="11"/>
      <c r="BE542" s="11"/>
      <c r="BF542" s="11"/>
      <c r="BG542" s="11"/>
      <c r="BH542" s="11"/>
      <c r="BI542" s="11"/>
      <c r="BJ542" s="11"/>
      <c r="BK542" s="11"/>
    </row>
    <row r="543" ht="15.75" customHeight="1">
      <c r="X543" s="37"/>
      <c r="Y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BD543" s="11"/>
      <c r="BE543" s="11"/>
      <c r="BF543" s="11"/>
      <c r="BG543" s="11"/>
      <c r="BH543" s="11"/>
      <c r="BI543" s="11"/>
      <c r="BJ543" s="11"/>
      <c r="BK543" s="11"/>
    </row>
    <row r="544" ht="15.75" customHeight="1">
      <c r="X544" s="37"/>
      <c r="Y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BD544" s="11"/>
      <c r="BE544" s="11"/>
      <c r="BF544" s="11"/>
      <c r="BG544" s="11"/>
      <c r="BH544" s="11"/>
      <c r="BI544" s="11"/>
      <c r="BJ544" s="11"/>
      <c r="BK544" s="11"/>
    </row>
    <row r="545" ht="15.75" customHeight="1">
      <c r="X545" s="37"/>
      <c r="Y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BD545" s="11"/>
      <c r="BE545" s="11"/>
      <c r="BF545" s="11"/>
      <c r="BG545" s="11"/>
      <c r="BH545" s="11"/>
      <c r="BI545" s="11"/>
      <c r="BJ545" s="11"/>
      <c r="BK545" s="11"/>
    </row>
    <row r="546" ht="15.75" customHeight="1">
      <c r="X546" s="37"/>
      <c r="Y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BD546" s="11"/>
      <c r="BE546" s="11"/>
      <c r="BF546" s="11"/>
      <c r="BG546" s="11"/>
      <c r="BH546" s="11"/>
      <c r="BI546" s="11"/>
      <c r="BJ546" s="11"/>
      <c r="BK546" s="11"/>
    </row>
    <row r="547" ht="15.75" customHeight="1">
      <c r="X547" s="37"/>
      <c r="Y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BD547" s="11"/>
      <c r="BE547" s="11"/>
      <c r="BF547" s="11"/>
      <c r="BG547" s="11"/>
      <c r="BH547" s="11"/>
      <c r="BI547" s="11"/>
      <c r="BJ547" s="11"/>
      <c r="BK547" s="11"/>
    </row>
    <row r="548" ht="15.75" customHeight="1">
      <c r="X548" s="37"/>
      <c r="Y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BD548" s="11"/>
      <c r="BE548" s="11"/>
      <c r="BF548" s="11"/>
      <c r="BG548" s="11"/>
      <c r="BH548" s="11"/>
      <c r="BI548" s="11"/>
      <c r="BJ548" s="11"/>
      <c r="BK548" s="11"/>
    </row>
    <row r="549" ht="15.75" customHeight="1">
      <c r="X549" s="37"/>
      <c r="Y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BD549" s="11"/>
      <c r="BE549" s="11"/>
      <c r="BF549" s="11"/>
      <c r="BG549" s="11"/>
      <c r="BH549" s="11"/>
      <c r="BI549" s="11"/>
      <c r="BJ549" s="11"/>
      <c r="BK549" s="11"/>
    </row>
    <row r="550" ht="15.75" customHeight="1">
      <c r="X550" s="37"/>
      <c r="Y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BD550" s="11"/>
      <c r="BE550" s="11"/>
      <c r="BF550" s="11"/>
      <c r="BG550" s="11"/>
      <c r="BH550" s="11"/>
      <c r="BI550" s="11"/>
      <c r="BJ550" s="11"/>
      <c r="BK550" s="11"/>
    </row>
    <row r="551" ht="15.75" customHeight="1">
      <c r="X551" s="37"/>
      <c r="Y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BD551" s="11"/>
      <c r="BE551" s="11"/>
      <c r="BF551" s="11"/>
      <c r="BG551" s="11"/>
      <c r="BH551" s="11"/>
      <c r="BI551" s="11"/>
      <c r="BJ551" s="11"/>
      <c r="BK551" s="11"/>
    </row>
    <row r="552" ht="15.75" customHeight="1">
      <c r="X552" s="37"/>
      <c r="Y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BD552" s="11"/>
      <c r="BE552" s="11"/>
      <c r="BF552" s="11"/>
      <c r="BG552" s="11"/>
      <c r="BH552" s="11"/>
      <c r="BI552" s="11"/>
      <c r="BJ552" s="11"/>
      <c r="BK552" s="11"/>
    </row>
    <row r="553" ht="15.75" customHeight="1">
      <c r="X553" s="37"/>
      <c r="Y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BD553" s="11"/>
      <c r="BE553" s="11"/>
      <c r="BF553" s="11"/>
      <c r="BG553" s="11"/>
      <c r="BH553" s="11"/>
      <c r="BI553" s="11"/>
      <c r="BJ553" s="11"/>
      <c r="BK553" s="11"/>
    </row>
    <row r="554" ht="15.75" customHeight="1">
      <c r="X554" s="37"/>
      <c r="Y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BD554" s="11"/>
      <c r="BE554" s="11"/>
      <c r="BF554" s="11"/>
      <c r="BG554" s="11"/>
      <c r="BH554" s="11"/>
      <c r="BI554" s="11"/>
      <c r="BJ554" s="11"/>
      <c r="BK554" s="11"/>
    </row>
    <row r="555" ht="15.75" customHeight="1">
      <c r="X555" s="37"/>
      <c r="Y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BD555" s="11"/>
      <c r="BE555" s="11"/>
      <c r="BF555" s="11"/>
      <c r="BG555" s="11"/>
      <c r="BH555" s="11"/>
      <c r="BI555" s="11"/>
      <c r="BJ555" s="11"/>
      <c r="BK555" s="11"/>
    </row>
    <row r="556" ht="15.75" customHeight="1">
      <c r="X556" s="37"/>
      <c r="Y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BD556" s="11"/>
      <c r="BE556" s="11"/>
      <c r="BF556" s="11"/>
      <c r="BG556" s="11"/>
      <c r="BH556" s="11"/>
      <c r="BI556" s="11"/>
      <c r="BJ556" s="11"/>
      <c r="BK556" s="11"/>
    </row>
    <row r="557" ht="15.75" customHeight="1">
      <c r="X557" s="37"/>
      <c r="Y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BD557" s="11"/>
      <c r="BE557" s="11"/>
      <c r="BF557" s="11"/>
      <c r="BG557" s="11"/>
      <c r="BH557" s="11"/>
      <c r="BI557" s="11"/>
      <c r="BJ557" s="11"/>
      <c r="BK557" s="11"/>
    </row>
    <row r="558" ht="15.75" customHeight="1">
      <c r="X558" s="37"/>
      <c r="Y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BD558" s="11"/>
      <c r="BE558" s="11"/>
      <c r="BF558" s="11"/>
      <c r="BG558" s="11"/>
      <c r="BH558" s="11"/>
      <c r="BI558" s="11"/>
      <c r="BJ558" s="11"/>
      <c r="BK558" s="11"/>
    </row>
    <row r="559" ht="15.75" customHeight="1">
      <c r="X559" s="37"/>
      <c r="Y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BD559" s="11"/>
      <c r="BE559" s="11"/>
      <c r="BF559" s="11"/>
      <c r="BG559" s="11"/>
      <c r="BH559" s="11"/>
      <c r="BI559" s="11"/>
      <c r="BJ559" s="11"/>
      <c r="BK559" s="11"/>
    </row>
    <row r="560" ht="15.75" customHeight="1">
      <c r="X560" s="37"/>
      <c r="Y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BD560" s="11"/>
      <c r="BE560" s="11"/>
      <c r="BF560" s="11"/>
      <c r="BG560" s="11"/>
      <c r="BH560" s="11"/>
      <c r="BI560" s="11"/>
      <c r="BJ560" s="11"/>
      <c r="BK560" s="11"/>
    </row>
    <row r="561" ht="15.75" customHeight="1">
      <c r="X561" s="37"/>
      <c r="Y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BD561" s="11"/>
      <c r="BE561" s="11"/>
      <c r="BF561" s="11"/>
      <c r="BG561" s="11"/>
      <c r="BH561" s="11"/>
      <c r="BI561" s="11"/>
      <c r="BJ561" s="11"/>
      <c r="BK561" s="11"/>
    </row>
    <row r="562" ht="15.75" customHeight="1">
      <c r="X562" s="37"/>
      <c r="Y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BD562" s="11"/>
      <c r="BE562" s="11"/>
      <c r="BF562" s="11"/>
      <c r="BG562" s="11"/>
      <c r="BH562" s="11"/>
      <c r="BI562" s="11"/>
      <c r="BJ562" s="11"/>
      <c r="BK562" s="11"/>
    </row>
    <row r="563" ht="15.75" customHeight="1">
      <c r="X563" s="37"/>
      <c r="Y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BD563" s="11"/>
      <c r="BE563" s="11"/>
      <c r="BF563" s="11"/>
      <c r="BG563" s="11"/>
      <c r="BH563" s="11"/>
      <c r="BI563" s="11"/>
      <c r="BJ563" s="11"/>
      <c r="BK563" s="11"/>
    </row>
    <row r="564" ht="15.75" customHeight="1">
      <c r="X564" s="37"/>
      <c r="Y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BD564" s="11"/>
      <c r="BE564" s="11"/>
      <c r="BF564" s="11"/>
      <c r="BG564" s="11"/>
      <c r="BH564" s="11"/>
      <c r="BI564" s="11"/>
      <c r="BJ564" s="11"/>
      <c r="BK564" s="11"/>
    </row>
    <row r="565" ht="15.75" customHeight="1">
      <c r="X565" s="37"/>
      <c r="Y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BD565" s="11"/>
      <c r="BE565" s="11"/>
      <c r="BF565" s="11"/>
      <c r="BG565" s="11"/>
      <c r="BH565" s="11"/>
      <c r="BI565" s="11"/>
      <c r="BJ565" s="11"/>
      <c r="BK565" s="11"/>
    </row>
    <row r="566" ht="15.75" customHeight="1">
      <c r="X566" s="37"/>
      <c r="Y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BD566" s="11"/>
      <c r="BE566" s="11"/>
      <c r="BF566" s="11"/>
      <c r="BG566" s="11"/>
      <c r="BH566" s="11"/>
      <c r="BI566" s="11"/>
      <c r="BJ566" s="11"/>
      <c r="BK566" s="11"/>
    </row>
    <row r="567" ht="15.75" customHeight="1">
      <c r="X567" s="37"/>
      <c r="Y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BD567" s="11"/>
      <c r="BE567" s="11"/>
      <c r="BF567" s="11"/>
      <c r="BG567" s="11"/>
      <c r="BH567" s="11"/>
      <c r="BI567" s="11"/>
      <c r="BJ567" s="11"/>
      <c r="BK567" s="11"/>
    </row>
    <row r="568" ht="15.75" customHeight="1">
      <c r="X568" s="37"/>
      <c r="Y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BD568" s="11"/>
      <c r="BE568" s="11"/>
      <c r="BF568" s="11"/>
      <c r="BG568" s="11"/>
      <c r="BH568" s="11"/>
      <c r="BI568" s="11"/>
      <c r="BJ568" s="11"/>
      <c r="BK568" s="11"/>
    </row>
    <row r="569" ht="15.75" customHeight="1">
      <c r="X569" s="37"/>
      <c r="Y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BD569" s="11"/>
      <c r="BE569" s="11"/>
      <c r="BF569" s="11"/>
      <c r="BG569" s="11"/>
      <c r="BH569" s="11"/>
      <c r="BI569" s="11"/>
      <c r="BJ569" s="11"/>
      <c r="BK569" s="11"/>
    </row>
    <row r="570" ht="15.75" customHeight="1">
      <c r="X570" s="37"/>
      <c r="Y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BD570" s="11"/>
      <c r="BE570" s="11"/>
      <c r="BF570" s="11"/>
      <c r="BG570" s="11"/>
      <c r="BH570" s="11"/>
      <c r="BI570" s="11"/>
      <c r="BJ570" s="11"/>
      <c r="BK570" s="11"/>
    </row>
    <row r="571" ht="15.75" customHeight="1">
      <c r="X571" s="37"/>
      <c r="Y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BD571" s="11"/>
      <c r="BE571" s="11"/>
      <c r="BF571" s="11"/>
      <c r="BG571" s="11"/>
      <c r="BH571" s="11"/>
      <c r="BI571" s="11"/>
      <c r="BJ571" s="11"/>
      <c r="BK571" s="11"/>
    </row>
    <row r="572" ht="15.75" customHeight="1">
      <c r="X572" s="37"/>
      <c r="Y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BD572" s="11"/>
      <c r="BE572" s="11"/>
      <c r="BF572" s="11"/>
      <c r="BG572" s="11"/>
      <c r="BH572" s="11"/>
      <c r="BI572" s="11"/>
      <c r="BJ572" s="11"/>
      <c r="BK572" s="11"/>
    </row>
    <row r="573" ht="15.75" customHeight="1">
      <c r="X573" s="37"/>
      <c r="Y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BD573" s="11"/>
      <c r="BE573" s="11"/>
      <c r="BF573" s="11"/>
      <c r="BG573" s="11"/>
      <c r="BH573" s="11"/>
      <c r="BI573" s="11"/>
      <c r="BJ573" s="11"/>
      <c r="BK573" s="11"/>
    </row>
    <row r="574" ht="15.75" customHeight="1">
      <c r="X574" s="37"/>
      <c r="Y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BD574" s="11"/>
      <c r="BE574" s="11"/>
      <c r="BF574" s="11"/>
      <c r="BG574" s="11"/>
      <c r="BH574" s="11"/>
      <c r="BI574" s="11"/>
      <c r="BJ574" s="11"/>
      <c r="BK574" s="11"/>
    </row>
    <row r="575" ht="15.75" customHeight="1">
      <c r="X575" s="37"/>
      <c r="Y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BD575" s="11"/>
      <c r="BE575" s="11"/>
      <c r="BF575" s="11"/>
      <c r="BG575" s="11"/>
      <c r="BH575" s="11"/>
      <c r="BI575" s="11"/>
      <c r="BJ575" s="11"/>
      <c r="BK575" s="11"/>
    </row>
    <row r="576" ht="15.75" customHeight="1">
      <c r="X576" s="37"/>
      <c r="Y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BD576" s="11"/>
      <c r="BE576" s="11"/>
      <c r="BF576" s="11"/>
      <c r="BG576" s="11"/>
      <c r="BH576" s="11"/>
      <c r="BI576" s="11"/>
      <c r="BJ576" s="11"/>
      <c r="BK576" s="11"/>
    </row>
    <row r="577" ht="15.75" customHeight="1">
      <c r="X577" s="37"/>
      <c r="Y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BD577" s="11"/>
      <c r="BE577" s="11"/>
      <c r="BF577" s="11"/>
      <c r="BG577" s="11"/>
      <c r="BH577" s="11"/>
      <c r="BI577" s="11"/>
      <c r="BJ577" s="11"/>
      <c r="BK577" s="11"/>
    </row>
    <row r="578" ht="15.75" customHeight="1">
      <c r="X578" s="37"/>
      <c r="Y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BD578" s="11"/>
      <c r="BE578" s="11"/>
      <c r="BF578" s="11"/>
      <c r="BG578" s="11"/>
      <c r="BH578" s="11"/>
      <c r="BI578" s="11"/>
      <c r="BJ578" s="11"/>
      <c r="BK578" s="11"/>
    </row>
    <row r="579" ht="15.75" customHeight="1">
      <c r="X579" s="37"/>
      <c r="Y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BD579" s="11"/>
      <c r="BE579" s="11"/>
      <c r="BF579" s="11"/>
      <c r="BG579" s="11"/>
      <c r="BH579" s="11"/>
      <c r="BI579" s="11"/>
      <c r="BJ579" s="11"/>
      <c r="BK579" s="11"/>
    </row>
    <row r="580" ht="15.75" customHeight="1">
      <c r="X580" s="37"/>
      <c r="Y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BD580" s="11"/>
      <c r="BE580" s="11"/>
      <c r="BF580" s="11"/>
      <c r="BG580" s="11"/>
      <c r="BH580" s="11"/>
      <c r="BI580" s="11"/>
      <c r="BJ580" s="11"/>
      <c r="BK580" s="11"/>
    </row>
    <row r="581" ht="15.75" customHeight="1">
      <c r="X581" s="37"/>
      <c r="Y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BD581" s="11"/>
      <c r="BE581" s="11"/>
      <c r="BF581" s="11"/>
      <c r="BG581" s="11"/>
      <c r="BH581" s="11"/>
      <c r="BI581" s="11"/>
      <c r="BJ581" s="11"/>
      <c r="BK581" s="11"/>
    </row>
    <row r="582" ht="15.75" customHeight="1">
      <c r="X582" s="37"/>
      <c r="Y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BD582" s="11"/>
      <c r="BE582" s="11"/>
      <c r="BF582" s="11"/>
      <c r="BG582" s="11"/>
      <c r="BH582" s="11"/>
      <c r="BI582" s="11"/>
      <c r="BJ582" s="11"/>
      <c r="BK582" s="11"/>
    </row>
    <row r="583" ht="15.75" customHeight="1">
      <c r="X583" s="37"/>
      <c r="Y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BD583" s="11"/>
      <c r="BE583" s="11"/>
      <c r="BF583" s="11"/>
      <c r="BG583" s="11"/>
      <c r="BH583" s="11"/>
      <c r="BI583" s="11"/>
      <c r="BJ583" s="11"/>
      <c r="BK583" s="11"/>
    </row>
    <row r="584" ht="15.75" customHeight="1">
      <c r="X584" s="37"/>
      <c r="Y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BD584" s="11"/>
      <c r="BE584" s="11"/>
      <c r="BF584" s="11"/>
      <c r="BG584" s="11"/>
      <c r="BH584" s="11"/>
      <c r="BI584" s="11"/>
      <c r="BJ584" s="11"/>
      <c r="BK584" s="11"/>
    </row>
    <row r="585" ht="15.75" customHeight="1">
      <c r="X585" s="37"/>
      <c r="Y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BD585" s="11"/>
      <c r="BE585" s="11"/>
      <c r="BF585" s="11"/>
      <c r="BG585" s="11"/>
      <c r="BH585" s="11"/>
      <c r="BI585" s="11"/>
      <c r="BJ585" s="11"/>
      <c r="BK585" s="11"/>
    </row>
    <row r="586" ht="15.75" customHeight="1">
      <c r="X586" s="37"/>
      <c r="Y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BD586" s="11"/>
      <c r="BE586" s="11"/>
      <c r="BF586" s="11"/>
      <c r="BG586" s="11"/>
      <c r="BH586" s="11"/>
      <c r="BI586" s="11"/>
      <c r="BJ586" s="11"/>
      <c r="BK586" s="11"/>
    </row>
    <row r="587" ht="15.75" customHeight="1">
      <c r="X587" s="37"/>
      <c r="Y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BD587" s="11"/>
      <c r="BE587" s="11"/>
      <c r="BF587" s="11"/>
      <c r="BG587" s="11"/>
      <c r="BH587" s="11"/>
      <c r="BI587" s="11"/>
      <c r="BJ587" s="11"/>
      <c r="BK587" s="11"/>
    </row>
    <row r="588" ht="15.75" customHeight="1">
      <c r="X588" s="37"/>
      <c r="Y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BD588" s="11"/>
      <c r="BE588" s="11"/>
      <c r="BF588" s="11"/>
      <c r="BG588" s="11"/>
      <c r="BH588" s="11"/>
      <c r="BI588" s="11"/>
      <c r="BJ588" s="11"/>
      <c r="BK588" s="11"/>
    </row>
    <row r="589" ht="15.75" customHeight="1">
      <c r="X589" s="37"/>
      <c r="Y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BD589" s="11"/>
      <c r="BE589" s="11"/>
      <c r="BF589" s="11"/>
      <c r="BG589" s="11"/>
      <c r="BH589" s="11"/>
      <c r="BI589" s="11"/>
      <c r="BJ589" s="11"/>
      <c r="BK589" s="11"/>
    </row>
    <row r="590" ht="15.75" customHeight="1">
      <c r="X590" s="37"/>
      <c r="Y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BD590" s="11"/>
      <c r="BE590" s="11"/>
      <c r="BF590" s="11"/>
      <c r="BG590" s="11"/>
      <c r="BH590" s="11"/>
      <c r="BI590" s="11"/>
      <c r="BJ590" s="11"/>
      <c r="BK590" s="11"/>
    </row>
    <row r="591" ht="15.75" customHeight="1">
      <c r="X591" s="37"/>
      <c r="Y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BD591" s="11"/>
      <c r="BE591" s="11"/>
      <c r="BF591" s="11"/>
      <c r="BG591" s="11"/>
      <c r="BH591" s="11"/>
      <c r="BI591" s="11"/>
      <c r="BJ591" s="11"/>
      <c r="BK591" s="11"/>
    </row>
    <row r="592" ht="15.75" customHeight="1">
      <c r="X592" s="37"/>
      <c r="Y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BD592" s="11"/>
      <c r="BE592" s="11"/>
      <c r="BF592" s="11"/>
      <c r="BG592" s="11"/>
      <c r="BH592" s="11"/>
      <c r="BI592" s="11"/>
      <c r="BJ592" s="11"/>
      <c r="BK592" s="11"/>
    </row>
    <row r="593" ht="15.75" customHeight="1">
      <c r="X593" s="37"/>
      <c r="Y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BD593" s="11"/>
      <c r="BE593" s="11"/>
      <c r="BF593" s="11"/>
      <c r="BG593" s="11"/>
      <c r="BH593" s="11"/>
      <c r="BI593" s="11"/>
      <c r="BJ593" s="11"/>
      <c r="BK593" s="11"/>
    </row>
    <row r="594" ht="15.75" customHeight="1">
      <c r="X594" s="37"/>
      <c r="Y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BD594" s="11"/>
      <c r="BE594" s="11"/>
      <c r="BF594" s="11"/>
      <c r="BG594" s="11"/>
      <c r="BH594" s="11"/>
      <c r="BI594" s="11"/>
      <c r="BJ594" s="11"/>
      <c r="BK594" s="11"/>
    </row>
    <row r="595" ht="15.75" customHeight="1">
      <c r="X595" s="37"/>
      <c r="Y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BD595" s="11"/>
      <c r="BE595" s="11"/>
      <c r="BF595" s="11"/>
      <c r="BG595" s="11"/>
      <c r="BH595" s="11"/>
      <c r="BI595" s="11"/>
      <c r="BJ595" s="11"/>
      <c r="BK595" s="11"/>
    </row>
    <row r="596" ht="15.75" customHeight="1">
      <c r="X596" s="37"/>
      <c r="Y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BD596" s="11"/>
      <c r="BE596" s="11"/>
      <c r="BF596" s="11"/>
      <c r="BG596" s="11"/>
      <c r="BH596" s="11"/>
      <c r="BI596" s="11"/>
      <c r="BJ596" s="11"/>
      <c r="BK596" s="11"/>
    </row>
    <row r="597" ht="15.75" customHeight="1">
      <c r="X597" s="37"/>
      <c r="Y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BD597" s="11"/>
      <c r="BE597" s="11"/>
      <c r="BF597" s="11"/>
      <c r="BG597" s="11"/>
      <c r="BH597" s="11"/>
      <c r="BI597" s="11"/>
      <c r="BJ597" s="11"/>
      <c r="BK597" s="11"/>
    </row>
    <row r="598" ht="15.75" customHeight="1">
      <c r="X598" s="37"/>
      <c r="Y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BD598" s="11"/>
      <c r="BE598" s="11"/>
      <c r="BF598" s="11"/>
      <c r="BG598" s="11"/>
      <c r="BH598" s="11"/>
      <c r="BI598" s="11"/>
      <c r="BJ598" s="11"/>
      <c r="BK598" s="11"/>
    </row>
    <row r="599" ht="15.75" customHeight="1">
      <c r="X599" s="37"/>
      <c r="Y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BD599" s="11"/>
      <c r="BE599" s="11"/>
      <c r="BF599" s="11"/>
      <c r="BG599" s="11"/>
      <c r="BH599" s="11"/>
      <c r="BI599" s="11"/>
      <c r="BJ599" s="11"/>
      <c r="BK599" s="11"/>
    </row>
    <row r="600" ht="15.75" customHeight="1">
      <c r="X600" s="37"/>
      <c r="Y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BD600" s="11"/>
      <c r="BE600" s="11"/>
      <c r="BF600" s="11"/>
      <c r="BG600" s="11"/>
      <c r="BH600" s="11"/>
      <c r="BI600" s="11"/>
      <c r="BJ600" s="11"/>
      <c r="BK600" s="11"/>
    </row>
    <row r="601" ht="15.75" customHeight="1">
      <c r="X601" s="37"/>
      <c r="Y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BD601" s="11"/>
      <c r="BE601" s="11"/>
      <c r="BF601" s="11"/>
      <c r="BG601" s="11"/>
      <c r="BH601" s="11"/>
      <c r="BI601" s="11"/>
      <c r="BJ601" s="11"/>
      <c r="BK601" s="11"/>
    </row>
    <row r="602" ht="15.75" customHeight="1">
      <c r="X602" s="37"/>
      <c r="Y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BD602" s="11"/>
      <c r="BE602" s="11"/>
      <c r="BF602" s="11"/>
      <c r="BG602" s="11"/>
      <c r="BH602" s="11"/>
      <c r="BI602" s="11"/>
      <c r="BJ602" s="11"/>
      <c r="BK602" s="11"/>
    </row>
    <row r="603" ht="15.75" customHeight="1">
      <c r="X603" s="37"/>
      <c r="Y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BD603" s="11"/>
      <c r="BE603" s="11"/>
      <c r="BF603" s="11"/>
      <c r="BG603" s="11"/>
      <c r="BH603" s="11"/>
      <c r="BI603" s="11"/>
      <c r="BJ603" s="11"/>
      <c r="BK603" s="11"/>
    </row>
    <row r="604" ht="15.75" customHeight="1">
      <c r="X604" s="37"/>
      <c r="Y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BD604" s="11"/>
      <c r="BE604" s="11"/>
      <c r="BF604" s="11"/>
      <c r="BG604" s="11"/>
      <c r="BH604" s="11"/>
      <c r="BI604" s="11"/>
      <c r="BJ604" s="11"/>
      <c r="BK604" s="11"/>
    </row>
    <row r="605" ht="15.75" customHeight="1">
      <c r="X605" s="37"/>
      <c r="Y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BD605" s="11"/>
      <c r="BE605" s="11"/>
      <c r="BF605" s="11"/>
      <c r="BG605" s="11"/>
      <c r="BH605" s="11"/>
      <c r="BI605" s="11"/>
      <c r="BJ605" s="11"/>
      <c r="BK605" s="11"/>
    </row>
    <row r="606" ht="15.75" customHeight="1">
      <c r="X606" s="37"/>
      <c r="Y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BD606" s="11"/>
      <c r="BE606" s="11"/>
      <c r="BF606" s="11"/>
      <c r="BG606" s="11"/>
      <c r="BH606" s="11"/>
      <c r="BI606" s="11"/>
      <c r="BJ606" s="11"/>
      <c r="BK606" s="11"/>
    </row>
    <row r="607" ht="15.75" customHeight="1">
      <c r="X607" s="37"/>
      <c r="Y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BD607" s="11"/>
      <c r="BE607" s="11"/>
      <c r="BF607" s="11"/>
      <c r="BG607" s="11"/>
      <c r="BH607" s="11"/>
      <c r="BI607" s="11"/>
      <c r="BJ607" s="11"/>
      <c r="BK607" s="11"/>
    </row>
    <row r="608" ht="15.75" customHeight="1">
      <c r="X608" s="37"/>
      <c r="Y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BD608" s="11"/>
      <c r="BE608" s="11"/>
      <c r="BF608" s="11"/>
      <c r="BG608" s="11"/>
      <c r="BH608" s="11"/>
      <c r="BI608" s="11"/>
      <c r="BJ608" s="11"/>
      <c r="BK608" s="11"/>
    </row>
    <row r="609" ht="15.75" customHeight="1">
      <c r="X609" s="37"/>
      <c r="Y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BD609" s="11"/>
      <c r="BE609" s="11"/>
      <c r="BF609" s="11"/>
      <c r="BG609" s="11"/>
      <c r="BH609" s="11"/>
      <c r="BI609" s="11"/>
      <c r="BJ609" s="11"/>
      <c r="BK609" s="11"/>
    </row>
    <row r="610" ht="15.75" customHeight="1">
      <c r="X610" s="37"/>
      <c r="Y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BD610" s="11"/>
      <c r="BE610" s="11"/>
      <c r="BF610" s="11"/>
      <c r="BG610" s="11"/>
      <c r="BH610" s="11"/>
      <c r="BI610" s="11"/>
      <c r="BJ610" s="11"/>
      <c r="BK610" s="11"/>
    </row>
    <row r="611" ht="15.75" customHeight="1">
      <c r="X611" s="37"/>
      <c r="Y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BD611" s="11"/>
      <c r="BE611" s="11"/>
      <c r="BF611" s="11"/>
      <c r="BG611" s="11"/>
      <c r="BH611" s="11"/>
      <c r="BI611" s="11"/>
      <c r="BJ611" s="11"/>
      <c r="BK611" s="11"/>
    </row>
    <row r="612" ht="15.75" customHeight="1">
      <c r="X612" s="37"/>
      <c r="Y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BD612" s="11"/>
      <c r="BE612" s="11"/>
      <c r="BF612" s="11"/>
      <c r="BG612" s="11"/>
      <c r="BH612" s="11"/>
      <c r="BI612" s="11"/>
      <c r="BJ612" s="11"/>
      <c r="BK612" s="11"/>
    </row>
    <row r="613" ht="15.75" customHeight="1">
      <c r="X613" s="37"/>
      <c r="Y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BD613" s="11"/>
      <c r="BE613" s="11"/>
      <c r="BF613" s="11"/>
      <c r="BG613" s="11"/>
      <c r="BH613" s="11"/>
      <c r="BI613" s="11"/>
      <c r="BJ613" s="11"/>
      <c r="BK613" s="11"/>
    </row>
    <row r="614" ht="15.75" customHeight="1">
      <c r="X614" s="37"/>
      <c r="Y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BD614" s="11"/>
      <c r="BE614" s="11"/>
      <c r="BF614" s="11"/>
      <c r="BG614" s="11"/>
      <c r="BH614" s="11"/>
      <c r="BI614" s="11"/>
      <c r="BJ614" s="11"/>
      <c r="BK614" s="11"/>
    </row>
    <row r="615" ht="15.75" customHeight="1">
      <c r="X615" s="37"/>
      <c r="Y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BD615" s="11"/>
      <c r="BE615" s="11"/>
      <c r="BF615" s="11"/>
      <c r="BG615" s="11"/>
      <c r="BH615" s="11"/>
      <c r="BI615" s="11"/>
      <c r="BJ615" s="11"/>
      <c r="BK615" s="11"/>
    </row>
    <row r="616" ht="15.75" customHeight="1">
      <c r="X616" s="37"/>
      <c r="Y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BD616" s="11"/>
      <c r="BE616" s="11"/>
      <c r="BF616" s="11"/>
      <c r="BG616" s="11"/>
      <c r="BH616" s="11"/>
      <c r="BI616" s="11"/>
      <c r="BJ616" s="11"/>
      <c r="BK616" s="11"/>
    </row>
    <row r="617" ht="15.75" customHeight="1">
      <c r="X617" s="37"/>
      <c r="Y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BD617" s="11"/>
      <c r="BE617" s="11"/>
      <c r="BF617" s="11"/>
      <c r="BG617" s="11"/>
      <c r="BH617" s="11"/>
      <c r="BI617" s="11"/>
      <c r="BJ617" s="11"/>
      <c r="BK617" s="11"/>
    </row>
    <row r="618" ht="15.75" customHeight="1">
      <c r="X618" s="37"/>
      <c r="Y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BD618" s="11"/>
      <c r="BE618" s="11"/>
      <c r="BF618" s="11"/>
      <c r="BG618" s="11"/>
      <c r="BH618" s="11"/>
      <c r="BI618" s="11"/>
      <c r="BJ618" s="11"/>
      <c r="BK618" s="11"/>
    </row>
    <row r="619" ht="15.75" customHeight="1">
      <c r="X619" s="37"/>
      <c r="Y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BD619" s="11"/>
      <c r="BE619" s="11"/>
      <c r="BF619" s="11"/>
      <c r="BG619" s="11"/>
      <c r="BH619" s="11"/>
      <c r="BI619" s="11"/>
      <c r="BJ619" s="11"/>
      <c r="BK619" s="11"/>
    </row>
    <row r="620" ht="15.75" customHeight="1">
      <c r="X620" s="37"/>
      <c r="Y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BD620" s="11"/>
      <c r="BE620" s="11"/>
      <c r="BF620" s="11"/>
      <c r="BG620" s="11"/>
      <c r="BH620" s="11"/>
      <c r="BI620" s="11"/>
      <c r="BJ620" s="11"/>
      <c r="BK620" s="11"/>
    </row>
    <row r="621" ht="15.75" customHeight="1">
      <c r="X621" s="37"/>
      <c r="Y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BD621" s="11"/>
      <c r="BE621" s="11"/>
      <c r="BF621" s="11"/>
      <c r="BG621" s="11"/>
      <c r="BH621" s="11"/>
      <c r="BI621" s="11"/>
      <c r="BJ621" s="11"/>
      <c r="BK621" s="11"/>
    </row>
    <row r="622" ht="15.75" customHeight="1">
      <c r="X622" s="37"/>
      <c r="Y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BD622" s="11"/>
      <c r="BE622" s="11"/>
      <c r="BF622" s="11"/>
      <c r="BG622" s="11"/>
      <c r="BH622" s="11"/>
      <c r="BI622" s="11"/>
      <c r="BJ622" s="11"/>
      <c r="BK622" s="11"/>
    </row>
    <row r="623" ht="15.75" customHeight="1">
      <c r="X623" s="37"/>
      <c r="Y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BD623" s="11"/>
      <c r="BE623" s="11"/>
      <c r="BF623" s="11"/>
      <c r="BG623" s="11"/>
      <c r="BH623" s="11"/>
      <c r="BI623" s="11"/>
      <c r="BJ623" s="11"/>
      <c r="BK623" s="11"/>
    </row>
    <row r="624" ht="15.75" customHeight="1">
      <c r="X624" s="37"/>
      <c r="Y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BD624" s="11"/>
      <c r="BE624" s="11"/>
      <c r="BF624" s="11"/>
      <c r="BG624" s="11"/>
      <c r="BH624" s="11"/>
      <c r="BI624" s="11"/>
      <c r="BJ624" s="11"/>
      <c r="BK624" s="11"/>
    </row>
    <row r="625" ht="15.75" customHeight="1">
      <c r="X625" s="37"/>
      <c r="Y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BD625" s="11"/>
      <c r="BE625" s="11"/>
      <c r="BF625" s="11"/>
      <c r="BG625" s="11"/>
      <c r="BH625" s="11"/>
      <c r="BI625" s="11"/>
      <c r="BJ625" s="11"/>
      <c r="BK625" s="11"/>
    </row>
    <row r="626" ht="15.75" customHeight="1">
      <c r="X626" s="37"/>
      <c r="Y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BD626" s="11"/>
      <c r="BE626" s="11"/>
      <c r="BF626" s="11"/>
      <c r="BG626" s="11"/>
      <c r="BH626" s="11"/>
      <c r="BI626" s="11"/>
      <c r="BJ626" s="11"/>
      <c r="BK626" s="11"/>
    </row>
    <row r="627" ht="15.75" customHeight="1">
      <c r="X627" s="37"/>
      <c r="Y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BD627" s="11"/>
      <c r="BE627" s="11"/>
      <c r="BF627" s="11"/>
      <c r="BG627" s="11"/>
      <c r="BH627" s="11"/>
      <c r="BI627" s="11"/>
      <c r="BJ627" s="11"/>
      <c r="BK627" s="11"/>
    </row>
    <row r="628" ht="15.75" customHeight="1">
      <c r="X628" s="37"/>
      <c r="Y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BD628" s="11"/>
      <c r="BE628" s="11"/>
      <c r="BF628" s="11"/>
      <c r="BG628" s="11"/>
      <c r="BH628" s="11"/>
      <c r="BI628" s="11"/>
      <c r="BJ628" s="11"/>
      <c r="BK628" s="11"/>
    </row>
    <row r="629" ht="15.75" customHeight="1">
      <c r="X629" s="37"/>
      <c r="Y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BD629" s="11"/>
      <c r="BE629" s="11"/>
      <c r="BF629" s="11"/>
      <c r="BG629" s="11"/>
      <c r="BH629" s="11"/>
      <c r="BI629" s="11"/>
      <c r="BJ629" s="11"/>
      <c r="BK629" s="11"/>
    </row>
    <row r="630" ht="15.75" customHeight="1">
      <c r="X630" s="37"/>
      <c r="Y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BD630" s="11"/>
      <c r="BE630" s="11"/>
      <c r="BF630" s="11"/>
      <c r="BG630" s="11"/>
      <c r="BH630" s="11"/>
      <c r="BI630" s="11"/>
      <c r="BJ630" s="11"/>
      <c r="BK630" s="11"/>
    </row>
    <row r="631" ht="15.75" customHeight="1">
      <c r="X631" s="37"/>
      <c r="Y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BD631" s="11"/>
      <c r="BE631" s="11"/>
      <c r="BF631" s="11"/>
      <c r="BG631" s="11"/>
      <c r="BH631" s="11"/>
      <c r="BI631" s="11"/>
      <c r="BJ631" s="11"/>
      <c r="BK631" s="11"/>
    </row>
    <row r="632" ht="15.75" customHeight="1">
      <c r="X632" s="37"/>
      <c r="Y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BD632" s="11"/>
      <c r="BE632" s="11"/>
      <c r="BF632" s="11"/>
      <c r="BG632" s="11"/>
      <c r="BH632" s="11"/>
      <c r="BI632" s="11"/>
      <c r="BJ632" s="11"/>
      <c r="BK632" s="11"/>
    </row>
    <row r="633" ht="15.75" customHeight="1">
      <c r="X633" s="37"/>
      <c r="Y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BD633" s="11"/>
      <c r="BE633" s="11"/>
      <c r="BF633" s="11"/>
      <c r="BG633" s="11"/>
      <c r="BH633" s="11"/>
      <c r="BI633" s="11"/>
      <c r="BJ633" s="11"/>
      <c r="BK633" s="11"/>
    </row>
    <row r="634" ht="15.75" customHeight="1">
      <c r="X634" s="37"/>
      <c r="Y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BD634" s="11"/>
      <c r="BE634" s="11"/>
      <c r="BF634" s="11"/>
      <c r="BG634" s="11"/>
      <c r="BH634" s="11"/>
      <c r="BI634" s="11"/>
      <c r="BJ634" s="11"/>
      <c r="BK634" s="11"/>
    </row>
    <row r="635" ht="15.75" customHeight="1">
      <c r="X635" s="37"/>
      <c r="Y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BD635" s="11"/>
      <c r="BE635" s="11"/>
      <c r="BF635" s="11"/>
      <c r="BG635" s="11"/>
      <c r="BH635" s="11"/>
      <c r="BI635" s="11"/>
      <c r="BJ635" s="11"/>
      <c r="BK635" s="11"/>
    </row>
    <row r="636" ht="15.75" customHeight="1">
      <c r="X636" s="37"/>
      <c r="Y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BD636" s="11"/>
      <c r="BE636" s="11"/>
      <c r="BF636" s="11"/>
      <c r="BG636" s="11"/>
      <c r="BH636" s="11"/>
      <c r="BI636" s="11"/>
      <c r="BJ636" s="11"/>
      <c r="BK636" s="11"/>
    </row>
    <row r="637" ht="15.75" customHeight="1">
      <c r="X637" s="37"/>
      <c r="Y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BD637" s="11"/>
      <c r="BE637" s="11"/>
      <c r="BF637" s="11"/>
      <c r="BG637" s="11"/>
      <c r="BH637" s="11"/>
      <c r="BI637" s="11"/>
      <c r="BJ637" s="11"/>
      <c r="BK637" s="11"/>
    </row>
    <row r="638" ht="15.75" customHeight="1">
      <c r="X638" s="37"/>
      <c r="Y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BD638" s="11"/>
      <c r="BE638" s="11"/>
      <c r="BF638" s="11"/>
      <c r="BG638" s="11"/>
      <c r="BH638" s="11"/>
      <c r="BI638" s="11"/>
      <c r="BJ638" s="11"/>
      <c r="BK638" s="11"/>
    </row>
    <row r="639" ht="15.75" customHeight="1">
      <c r="X639" s="37"/>
      <c r="Y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BD639" s="11"/>
      <c r="BE639" s="11"/>
      <c r="BF639" s="11"/>
      <c r="BG639" s="11"/>
      <c r="BH639" s="11"/>
      <c r="BI639" s="11"/>
      <c r="BJ639" s="11"/>
      <c r="BK639" s="11"/>
    </row>
    <row r="640" ht="15.75" customHeight="1">
      <c r="X640" s="37"/>
      <c r="Y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BD640" s="11"/>
      <c r="BE640" s="11"/>
      <c r="BF640" s="11"/>
      <c r="BG640" s="11"/>
      <c r="BH640" s="11"/>
      <c r="BI640" s="11"/>
      <c r="BJ640" s="11"/>
      <c r="BK640" s="11"/>
    </row>
    <row r="641" ht="15.75" customHeight="1">
      <c r="X641" s="37"/>
      <c r="Y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BD641" s="11"/>
      <c r="BE641" s="11"/>
      <c r="BF641" s="11"/>
      <c r="BG641" s="11"/>
      <c r="BH641" s="11"/>
      <c r="BI641" s="11"/>
      <c r="BJ641" s="11"/>
      <c r="BK641" s="11"/>
    </row>
    <row r="642" ht="15.75" customHeight="1">
      <c r="X642" s="37"/>
      <c r="Y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BD642" s="11"/>
      <c r="BE642" s="11"/>
      <c r="BF642" s="11"/>
      <c r="BG642" s="11"/>
      <c r="BH642" s="11"/>
      <c r="BI642" s="11"/>
      <c r="BJ642" s="11"/>
      <c r="BK642" s="11"/>
    </row>
    <row r="643" ht="15.75" customHeight="1">
      <c r="X643" s="37"/>
      <c r="Y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BD643" s="11"/>
      <c r="BE643" s="11"/>
      <c r="BF643" s="11"/>
      <c r="BG643" s="11"/>
      <c r="BH643" s="11"/>
      <c r="BI643" s="11"/>
      <c r="BJ643" s="11"/>
      <c r="BK643" s="11"/>
    </row>
    <row r="644" ht="15.75" customHeight="1">
      <c r="X644" s="37"/>
      <c r="Y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BD644" s="11"/>
      <c r="BE644" s="11"/>
      <c r="BF644" s="11"/>
      <c r="BG644" s="11"/>
      <c r="BH644" s="11"/>
      <c r="BI644" s="11"/>
      <c r="BJ644" s="11"/>
      <c r="BK644" s="11"/>
    </row>
    <row r="645" ht="15.75" customHeight="1">
      <c r="X645" s="37"/>
      <c r="Y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BD645" s="11"/>
      <c r="BE645" s="11"/>
      <c r="BF645" s="11"/>
      <c r="BG645" s="11"/>
      <c r="BH645" s="11"/>
      <c r="BI645" s="11"/>
      <c r="BJ645" s="11"/>
      <c r="BK645" s="11"/>
    </row>
    <row r="646" ht="15.75" customHeight="1">
      <c r="X646" s="37"/>
      <c r="Y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BD646" s="11"/>
      <c r="BE646" s="11"/>
      <c r="BF646" s="11"/>
      <c r="BG646" s="11"/>
      <c r="BH646" s="11"/>
      <c r="BI646" s="11"/>
      <c r="BJ646" s="11"/>
      <c r="BK646" s="11"/>
    </row>
    <row r="647" ht="15.75" customHeight="1">
      <c r="X647" s="37"/>
      <c r="Y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BD647" s="11"/>
      <c r="BE647" s="11"/>
      <c r="BF647" s="11"/>
      <c r="BG647" s="11"/>
      <c r="BH647" s="11"/>
      <c r="BI647" s="11"/>
      <c r="BJ647" s="11"/>
      <c r="BK647" s="11"/>
    </row>
    <row r="648" ht="15.75" customHeight="1">
      <c r="X648" s="37"/>
      <c r="Y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BD648" s="11"/>
      <c r="BE648" s="11"/>
      <c r="BF648" s="11"/>
      <c r="BG648" s="11"/>
      <c r="BH648" s="11"/>
      <c r="BI648" s="11"/>
      <c r="BJ648" s="11"/>
      <c r="BK648" s="11"/>
    </row>
    <row r="649" ht="15.75" customHeight="1">
      <c r="X649" s="37"/>
      <c r="Y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BD649" s="11"/>
      <c r="BE649" s="11"/>
      <c r="BF649" s="11"/>
      <c r="BG649" s="11"/>
      <c r="BH649" s="11"/>
      <c r="BI649" s="11"/>
      <c r="BJ649" s="11"/>
      <c r="BK649" s="11"/>
    </row>
    <row r="650" ht="15.75" customHeight="1">
      <c r="X650" s="37"/>
      <c r="Y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BD650" s="11"/>
      <c r="BE650" s="11"/>
      <c r="BF650" s="11"/>
      <c r="BG650" s="11"/>
      <c r="BH650" s="11"/>
      <c r="BI650" s="11"/>
      <c r="BJ650" s="11"/>
      <c r="BK650" s="11"/>
    </row>
    <row r="651" ht="15.75" customHeight="1">
      <c r="X651" s="37"/>
      <c r="Y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BD651" s="11"/>
      <c r="BE651" s="11"/>
      <c r="BF651" s="11"/>
      <c r="BG651" s="11"/>
      <c r="BH651" s="11"/>
      <c r="BI651" s="11"/>
      <c r="BJ651" s="11"/>
      <c r="BK651" s="11"/>
    </row>
    <row r="652" ht="15.75" customHeight="1">
      <c r="X652" s="37"/>
      <c r="Y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BD652" s="11"/>
      <c r="BE652" s="11"/>
      <c r="BF652" s="11"/>
      <c r="BG652" s="11"/>
      <c r="BH652" s="11"/>
      <c r="BI652" s="11"/>
      <c r="BJ652" s="11"/>
      <c r="BK652" s="11"/>
    </row>
    <row r="653" ht="15.75" customHeight="1">
      <c r="X653" s="37"/>
      <c r="Y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BD653" s="11"/>
      <c r="BE653" s="11"/>
      <c r="BF653" s="11"/>
      <c r="BG653" s="11"/>
      <c r="BH653" s="11"/>
      <c r="BI653" s="11"/>
      <c r="BJ653" s="11"/>
      <c r="BK653" s="11"/>
    </row>
    <row r="654" ht="15.75" customHeight="1">
      <c r="X654" s="37"/>
      <c r="Y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BD654" s="11"/>
      <c r="BE654" s="11"/>
      <c r="BF654" s="11"/>
      <c r="BG654" s="11"/>
      <c r="BH654" s="11"/>
      <c r="BI654" s="11"/>
      <c r="BJ654" s="11"/>
      <c r="BK654" s="11"/>
    </row>
    <row r="655" ht="15.75" customHeight="1">
      <c r="X655" s="37"/>
      <c r="Y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BD655" s="11"/>
      <c r="BE655" s="11"/>
      <c r="BF655" s="11"/>
      <c r="BG655" s="11"/>
      <c r="BH655" s="11"/>
      <c r="BI655" s="11"/>
      <c r="BJ655" s="11"/>
      <c r="BK655" s="11"/>
    </row>
    <row r="656" ht="15.75" customHeight="1">
      <c r="X656" s="37"/>
      <c r="Y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BD656" s="11"/>
      <c r="BE656" s="11"/>
      <c r="BF656" s="11"/>
      <c r="BG656" s="11"/>
      <c r="BH656" s="11"/>
      <c r="BI656" s="11"/>
      <c r="BJ656" s="11"/>
      <c r="BK656" s="11"/>
    </row>
    <row r="657" ht="15.75" customHeight="1">
      <c r="X657" s="37"/>
      <c r="Y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BD657" s="11"/>
      <c r="BE657" s="11"/>
      <c r="BF657" s="11"/>
      <c r="BG657" s="11"/>
      <c r="BH657" s="11"/>
      <c r="BI657" s="11"/>
      <c r="BJ657" s="11"/>
      <c r="BK657" s="11"/>
    </row>
    <row r="658" ht="15.75" customHeight="1">
      <c r="X658" s="37"/>
      <c r="Y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BD658" s="11"/>
      <c r="BE658" s="11"/>
      <c r="BF658" s="11"/>
      <c r="BG658" s="11"/>
      <c r="BH658" s="11"/>
      <c r="BI658" s="11"/>
      <c r="BJ658" s="11"/>
      <c r="BK658" s="11"/>
    </row>
    <row r="659" ht="15.75" customHeight="1">
      <c r="X659" s="37"/>
      <c r="Y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BD659" s="11"/>
      <c r="BE659" s="11"/>
      <c r="BF659" s="11"/>
      <c r="BG659" s="11"/>
      <c r="BH659" s="11"/>
      <c r="BI659" s="11"/>
      <c r="BJ659" s="11"/>
      <c r="BK659" s="11"/>
    </row>
    <row r="660" ht="15.75" customHeight="1">
      <c r="X660" s="37"/>
      <c r="Y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BD660" s="11"/>
      <c r="BE660" s="11"/>
      <c r="BF660" s="11"/>
      <c r="BG660" s="11"/>
      <c r="BH660" s="11"/>
      <c r="BI660" s="11"/>
      <c r="BJ660" s="11"/>
      <c r="BK660" s="11"/>
    </row>
    <row r="661" ht="15.75" customHeight="1">
      <c r="X661" s="37"/>
      <c r="Y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BD661" s="11"/>
      <c r="BE661" s="11"/>
      <c r="BF661" s="11"/>
      <c r="BG661" s="11"/>
      <c r="BH661" s="11"/>
      <c r="BI661" s="11"/>
      <c r="BJ661" s="11"/>
      <c r="BK661" s="11"/>
    </row>
    <row r="662" ht="15.75" customHeight="1">
      <c r="X662" s="37"/>
      <c r="Y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BD662" s="11"/>
      <c r="BE662" s="11"/>
      <c r="BF662" s="11"/>
      <c r="BG662" s="11"/>
      <c r="BH662" s="11"/>
      <c r="BI662" s="11"/>
      <c r="BJ662" s="11"/>
      <c r="BK662" s="11"/>
    </row>
    <row r="663" ht="15.75" customHeight="1">
      <c r="X663" s="37"/>
      <c r="Y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BD663" s="11"/>
      <c r="BE663" s="11"/>
      <c r="BF663" s="11"/>
      <c r="BG663" s="11"/>
      <c r="BH663" s="11"/>
      <c r="BI663" s="11"/>
      <c r="BJ663" s="11"/>
      <c r="BK663" s="11"/>
    </row>
    <row r="664" ht="15.75" customHeight="1">
      <c r="X664" s="37"/>
      <c r="Y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BD664" s="11"/>
      <c r="BE664" s="11"/>
      <c r="BF664" s="11"/>
      <c r="BG664" s="11"/>
      <c r="BH664" s="11"/>
      <c r="BI664" s="11"/>
      <c r="BJ664" s="11"/>
      <c r="BK664" s="11"/>
    </row>
    <row r="665" ht="15.75" customHeight="1">
      <c r="X665" s="37"/>
      <c r="Y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BD665" s="11"/>
      <c r="BE665" s="11"/>
      <c r="BF665" s="11"/>
      <c r="BG665" s="11"/>
      <c r="BH665" s="11"/>
      <c r="BI665" s="11"/>
      <c r="BJ665" s="11"/>
      <c r="BK665" s="11"/>
    </row>
    <row r="666" ht="15.75" customHeight="1">
      <c r="X666" s="37"/>
      <c r="Y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BD666" s="11"/>
      <c r="BE666" s="11"/>
      <c r="BF666" s="11"/>
      <c r="BG666" s="11"/>
      <c r="BH666" s="11"/>
      <c r="BI666" s="11"/>
      <c r="BJ666" s="11"/>
      <c r="BK666" s="11"/>
    </row>
    <row r="667" ht="15.75" customHeight="1">
      <c r="X667" s="37"/>
      <c r="Y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BD667" s="11"/>
      <c r="BE667" s="11"/>
      <c r="BF667" s="11"/>
      <c r="BG667" s="11"/>
      <c r="BH667" s="11"/>
      <c r="BI667" s="11"/>
      <c r="BJ667" s="11"/>
      <c r="BK667" s="11"/>
    </row>
    <row r="668" ht="15.75" customHeight="1">
      <c r="X668" s="37"/>
      <c r="Y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BD668" s="11"/>
      <c r="BE668" s="11"/>
      <c r="BF668" s="11"/>
      <c r="BG668" s="11"/>
      <c r="BH668" s="11"/>
      <c r="BI668" s="11"/>
      <c r="BJ668" s="11"/>
      <c r="BK668" s="11"/>
    </row>
    <row r="669" ht="15.75" customHeight="1">
      <c r="X669" s="37"/>
      <c r="Y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BD669" s="11"/>
      <c r="BE669" s="11"/>
      <c r="BF669" s="11"/>
      <c r="BG669" s="11"/>
      <c r="BH669" s="11"/>
      <c r="BI669" s="11"/>
      <c r="BJ669" s="11"/>
      <c r="BK669" s="11"/>
    </row>
    <row r="670" ht="15.75" customHeight="1">
      <c r="X670" s="37"/>
      <c r="Y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BD670" s="11"/>
      <c r="BE670" s="11"/>
      <c r="BF670" s="11"/>
      <c r="BG670" s="11"/>
      <c r="BH670" s="11"/>
      <c r="BI670" s="11"/>
      <c r="BJ670" s="11"/>
      <c r="BK670" s="11"/>
    </row>
    <row r="671" ht="15.75" customHeight="1">
      <c r="X671" s="37"/>
      <c r="Y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BD671" s="11"/>
      <c r="BE671" s="11"/>
      <c r="BF671" s="11"/>
      <c r="BG671" s="11"/>
      <c r="BH671" s="11"/>
      <c r="BI671" s="11"/>
      <c r="BJ671" s="11"/>
      <c r="BK671" s="11"/>
    </row>
    <row r="672" ht="15.75" customHeight="1">
      <c r="X672" s="37"/>
      <c r="Y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BD672" s="11"/>
      <c r="BE672" s="11"/>
      <c r="BF672" s="11"/>
      <c r="BG672" s="11"/>
      <c r="BH672" s="11"/>
      <c r="BI672" s="11"/>
      <c r="BJ672" s="11"/>
      <c r="BK672" s="11"/>
    </row>
    <row r="673" ht="15.75" customHeight="1">
      <c r="X673" s="37"/>
      <c r="Y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BD673" s="11"/>
      <c r="BE673" s="11"/>
      <c r="BF673" s="11"/>
      <c r="BG673" s="11"/>
      <c r="BH673" s="11"/>
      <c r="BI673" s="11"/>
      <c r="BJ673" s="11"/>
      <c r="BK673" s="11"/>
    </row>
    <row r="674" ht="15.75" customHeight="1">
      <c r="X674" s="37"/>
      <c r="Y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BD674" s="11"/>
      <c r="BE674" s="11"/>
      <c r="BF674" s="11"/>
      <c r="BG674" s="11"/>
      <c r="BH674" s="11"/>
      <c r="BI674" s="11"/>
      <c r="BJ674" s="11"/>
      <c r="BK674" s="11"/>
    </row>
    <row r="675" ht="15.75" customHeight="1">
      <c r="X675" s="37"/>
      <c r="Y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BD675" s="11"/>
      <c r="BE675" s="11"/>
      <c r="BF675" s="11"/>
      <c r="BG675" s="11"/>
      <c r="BH675" s="11"/>
      <c r="BI675" s="11"/>
      <c r="BJ675" s="11"/>
      <c r="BK675" s="11"/>
    </row>
    <row r="676" ht="15.75" customHeight="1">
      <c r="X676" s="37"/>
      <c r="Y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BD676" s="11"/>
      <c r="BE676" s="11"/>
      <c r="BF676" s="11"/>
      <c r="BG676" s="11"/>
      <c r="BH676" s="11"/>
      <c r="BI676" s="11"/>
      <c r="BJ676" s="11"/>
      <c r="BK676" s="11"/>
    </row>
    <row r="677" ht="15.75" customHeight="1">
      <c r="X677" s="37"/>
      <c r="Y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BD677" s="11"/>
      <c r="BE677" s="11"/>
      <c r="BF677" s="11"/>
      <c r="BG677" s="11"/>
      <c r="BH677" s="11"/>
      <c r="BI677" s="11"/>
      <c r="BJ677" s="11"/>
      <c r="BK677" s="11"/>
    </row>
    <row r="678" ht="15.75" customHeight="1">
      <c r="X678" s="37"/>
      <c r="Y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BD678" s="11"/>
      <c r="BE678" s="11"/>
      <c r="BF678" s="11"/>
      <c r="BG678" s="11"/>
      <c r="BH678" s="11"/>
      <c r="BI678" s="11"/>
      <c r="BJ678" s="11"/>
      <c r="BK678" s="11"/>
    </row>
    <row r="679" ht="15.75" customHeight="1">
      <c r="X679" s="37"/>
      <c r="Y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BD679" s="11"/>
      <c r="BE679" s="11"/>
      <c r="BF679" s="11"/>
      <c r="BG679" s="11"/>
      <c r="BH679" s="11"/>
      <c r="BI679" s="11"/>
      <c r="BJ679" s="11"/>
      <c r="BK679" s="11"/>
    </row>
    <row r="680" ht="15.75" customHeight="1">
      <c r="X680" s="37"/>
      <c r="Y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BD680" s="11"/>
      <c r="BE680" s="11"/>
      <c r="BF680" s="11"/>
      <c r="BG680" s="11"/>
      <c r="BH680" s="11"/>
      <c r="BI680" s="11"/>
      <c r="BJ680" s="11"/>
      <c r="BK680" s="11"/>
    </row>
    <row r="681" ht="15.75" customHeight="1">
      <c r="X681" s="37"/>
      <c r="Y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BD681" s="11"/>
      <c r="BE681" s="11"/>
      <c r="BF681" s="11"/>
      <c r="BG681" s="11"/>
      <c r="BH681" s="11"/>
      <c r="BI681" s="11"/>
      <c r="BJ681" s="11"/>
      <c r="BK681" s="11"/>
    </row>
    <row r="682" ht="15.75" customHeight="1">
      <c r="X682" s="37"/>
      <c r="Y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BD682" s="11"/>
      <c r="BE682" s="11"/>
      <c r="BF682" s="11"/>
      <c r="BG682" s="11"/>
      <c r="BH682" s="11"/>
      <c r="BI682" s="11"/>
      <c r="BJ682" s="11"/>
      <c r="BK682" s="11"/>
    </row>
    <row r="683" ht="15.75" customHeight="1">
      <c r="X683" s="37"/>
      <c r="Y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BD683" s="11"/>
      <c r="BE683" s="11"/>
      <c r="BF683" s="11"/>
      <c r="BG683" s="11"/>
      <c r="BH683" s="11"/>
      <c r="BI683" s="11"/>
      <c r="BJ683" s="11"/>
      <c r="BK683" s="11"/>
    </row>
    <row r="684" ht="15.75" customHeight="1">
      <c r="X684" s="37"/>
      <c r="Y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BD684" s="11"/>
      <c r="BE684" s="11"/>
      <c r="BF684" s="11"/>
      <c r="BG684" s="11"/>
      <c r="BH684" s="11"/>
      <c r="BI684" s="11"/>
      <c r="BJ684" s="11"/>
      <c r="BK684" s="11"/>
    </row>
    <row r="685" ht="15.75" customHeight="1">
      <c r="X685" s="37"/>
      <c r="Y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BD685" s="11"/>
      <c r="BE685" s="11"/>
      <c r="BF685" s="11"/>
      <c r="BG685" s="11"/>
      <c r="BH685" s="11"/>
      <c r="BI685" s="11"/>
      <c r="BJ685" s="11"/>
      <c r="BK685" s="11"/>
    </row>
    <row r="686" ht="15.75" customHeight="1">
      <c r="X686" s="37"/>
      <c r="Y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BD686" s="11"/>
      <c r="BE686" s="11"/>
      <c r="BF686" s="11"/>
      <c r="BG686" s="11"/>
      <c r="BH686" s="11"/>
      <c r="BI686" s="11"/>
      <c r="BJ686" s="11"/>
      <c r="BK686" s="11"/>
    </row>
    <row r="687" ht="15.75" customHeight="1">
      <c r="X687" s="37"/>
      <c r="Y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BD687" s="11"/>
      <c r="BE687" s="11"/>
      <c r="BF687" s="11"/>
      <c r="BG687" s="11"/>
      <c r="BH687" s="11"/>
      <c r="BI687" s="11"/>
      <c r="BJ687" s="11"/>
      <c r="BK687" s="11"/>
    </row>
    <row r="688" ht="15.75" customHeight="1">
      <c r="X688" s="37"/>
      <c r="Y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BD688" s="11"/>
      <c r="BE688" s="11"/>
      <c r="BF688" s="11"/>
      <c r="BG688" s="11"/>
      <c r="BH688" s="11"/>
      <c r="BI688" s="11"/>
      <c r="BJ688" s="11"/>
      <c r="BK688" s="11"/>
    </row>
    <row r="689" ht="15.75" customHeight="1">
      <c r="X689" s="37"/>
      <c r="Y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BD689" s="11"/>
      <c r="BE689" s="11"/>
      <c r="BF689" s="11"/>
      <c r="BG689" s="11"/>
      <c r="BH689" s="11"/>
      <c r="BI689" s="11"/>
      <c r="BJ689" s="11"/>
      <c r="BK689" s="11"/>
    </row>
    <row r="690" ht="15.75" customHeight="1">
      <c r="X690" s="37"/>
      <c r="Y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BD690" s="11"/>
      <c r="BE690" s="11"/>
      <c r="BF690" s="11"/>
      <c r="BG690" s="11"/>
      <c r="BH690" s="11"/>
      <c r="BI690" s="11"/>
      <c r="BJ690" s="11"/>
      <c r="BK690" s="11"/>
    </row>
    <row r="691" ht="15.75" customHeight="1">
      <c r="X691" s="37"/>
      <c r="Y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BD691" s="11"/>
      <c r="BE691" s="11"/>
      <c r="BF691" s="11"/>
      <c r="BG691" s="11"/>
      <c r="BH691" s="11"/>
      <c r="BI691" s="11"/>
      <c r="BJ691" s="11"/>
      <c r="BK691" s="11"/>
    </row>
    <row r="692" ht="15.75" customHeight="1">
      <c r="X692" s="37"/>
      <c r="Y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BD692" s="11"/>
      <c r="BE692" s="11"/>
      <c r="BF692" s="11"/>
      <c r="BG692" s="11"/>
      <c r="BH692" s="11"/>
      <c r="BI692" s="11"/>
      <c r="BJ692" s="11"/>
      <c r="BK692" s="11"/>
    </row>
    <row r="693" ht="15.75" customHeight="1">
      <c r="X693" s="37"/>
      <c r="Y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BD693" s="11"/>
      <c r="BE693" s="11"/>
      <c r="BF693" s="11"/>
      <c r="BG693" s="11"/>
      <c r="BH693" s="11"/>
      <c r="BI693" s="11"/>
      <c r="BJ693" s="11"/>
      <c r="BK693" s="11"/>
    </row>
    <row r="694" ht="15.75" customHeight="1">
      <c r="X694" s="37"/>
      <c r="Y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BD694" s="11"/>
      <c r="BE694" s="11"/>
      <c r="BF694" s="11"/>
      <c r="BG694" s="11"/>
      <c r="BH694" s="11"/>
      <c r="BI694" s="11"/>
      <c r="BJ694" s="11"/>
      <c r="BK694" s="11"/>
    </row>
    <row r="695" ht="15.75" customHeight="1">
      <c r="X695" s="37"/>
      <c r="Y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BD695" s="11"/>
      <c r="BE695" s="11"/>
      <c r="BF695" s="11"/>
      <c r="BG695" s="11"/>
      <c r="BH695" s="11"/>
      <c r="BI695" s="11"/>
      <c r="BJ695" s="11"/>
      <c r="BK695" s="11"/>
    </row>
    <row r="696" ht="15.75" customHeight="1">
      <c r="X696" s="37"/>
      <c r="Y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BD696" s="11"/>
      <c r="BE696" s="11"/>
      <c r="BF696" s="11"/>
      <c r="BG696" s="11"/>
      <c r="BH696" s="11"/>
      <c r="BI696" s="11"/>
      <c r="BJ696" s="11"/>
      <c r="BK696" s="11"/>
    </row>
    <row r="697" ht="15.75" customHeight="1">
      <c r="X697" s="37"/>
      <c r="Y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BD697" s="11"/>
      <c r="BE697" s="11"/>
      <c r="BF697" s="11"/>
      <c r="BG697" s="11"/>
      <c r="BH697" s="11"/>
      <c r="BI697" s="11"/>
      <c r="BJ697" s="11"/>
      <c r="BK697" s="11"/>
    </row>
    <row r="698" ht="15.75" customHeight="1">
      <c r="X698" s="37"/>
      <c r="Y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BD698" s="11"/>
      <c r="BE698" s="11"/>
      <c r="BF698" s="11"/>
      <c r="BG698" s="11"/>
      <c r="BH698" s="11"/>
      <c r="BI698" s="11"/>
      <c r="BJ698" s="11"/>
      <c r="BK698" s="11"/>
    </row>
    <row r="699" ht="15.75" customHeight="1">
      <c r="X699" s="37"/>
      <c r="Y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BD699" s="11"/>
      <c r="BE699" s="11"/>
      <c r="BF699" s="11"/>
      <c r="BG699" s="11"/>
      <c r="BH699" s="11"/>
      <c r="BI699" s="11"/>
      <c r="BJ699" s="11"/>
      <c r="BK699" s="11"/>
    </row>
    <row r="700" ht="15.75" customHeight="1">
      <c r="X700" s="37"/>
      <c r="Y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BD700" s="11"/>
      <c r="BE700" s="11"/>
      <c r="BF700" s="11"/>
      <c r="BG700" s="11"/>
      <c r="BH700" s="11"/>
      <c r="BI700" s="11"/>
      <c r="BJ700" s="11"/>
      <c r="BK700" s="11"/>
    </row>
    <row r="701" ht="15.75" customHeight="1">
      <c r="X701" s="37"/>
      <c r="Y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BD701" s="11"/>
      <c r="BE701" s="11"/>
      <c r="BF701" s="11"/>
      <c r="BG701" s="11"/>
      <c r="BH701" s="11"/>
      <c r="BI701" s="11"/>
      <c r="BJ701" s="11"/>
      <c r="BK701" s="11"/>
    </row>
    <row r="702" ht="15.75" customHeight="1">
      <c r="X702" s="37"/>
      <c r="Y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BD702" s="11"/>
      <c r="BE702" s="11"/>
      <c r="BF702" s="11"/>
      <c r="BG702" s="11"/>
      <c r="BH702" s="11"/>
      <c r="BI702" s="11"/>
      <c r="BJ702" s="11"/>
      <c r="BK702" s="11"/>
    </row>
    <row r="703" ht="15.75" customHeight="1">
      <c r="X703" s="37"/>
      <c r="Y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BD703" s="11"/>
      <c r="BE703" s="11"/>
      <c r="BF703" s="11"/>
      <c r="BG703" s="11"/>
      <c r="BH703" s="11"/>
      <c r="BI703" s="11"/>
      <c r="BJ703" s="11"/>
      <c r="BK703" s="11"/>
    </row>
    <row r="704" ht="15.75" customHeight="1">
      <c r="X704" s="37"/>
      <c r="Y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BD704" s="11"/>
      <c r="BE704" s="11"/>
      <c r="BF704" s="11"/>
      <c r="BG704" s="11"/>
      <c r="BH704" s="11"/>
      <c r="BI704" s="11"/>
      <c r="BJ704" s="11"/>
      <c r="BK704" s="11"/>
    </row>
    <row r="705" ht="15.75" customHeight="1">
      <c r="X705" s="37"/>
      <c r="Y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BD705" s="11"/>
      <c r="BE705" s="11"/>
      <c r="BF705" s="11"/>
      <c r="BG705" s="11"/>
      <c r="BH705" s="11"/>
      <c r="BI705" s="11"/>
      <c r="BJ705" s="11"/>
      <c r="BK705" s="11"/>
    </row>
    <row r="706" ht="15.75" customHeight="1">
      <c r="X706" s="37"/>
      <c r="Y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BD706" s="11"/>
      <c r="BE706" s="11"/>
      <c r="BF706" s="11"/>
      <c r="BG706" s="11"/>
      <c r="BH706" s="11"/>
      <c r="BI706" s="11"/>
      <c r="BJ706" s="11"/>
      <c r="BK706" s="11"/>
    </row>
    <row r="707" ht="15.75" customHeight="1">
      <c r="X707" s="37"/>
      <c r="Y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BD707" s="11"/>
      <c r="BE707" s="11"/>
      <c r="BF707" s="11"/>
      <c r="BG707" s="11"/>
      <c r="BH707" s="11"/>
      <c r="BI707" s="11"/>
      <c r="BJ707" s="11"/>
      <c r="BK707" s="11"/>
    </row>
    <row r="708" ht="15.75" customHeight="1">
      <c r="X708" s="37"/>
      <c r="Y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BD708" s="11"/>
      <c r="BE708" s="11"/>
      <c r="BF708" s="11"/>
      <c r="BG708" s="11"/>
      <c r="BH708" s="11"/>
      <c r="BI708" s="11"/>
      <c r="BJ708" s="11"/>
      <c r="BK708" s="11"/>
    </row>
    <row r="709" ht="15.75" customHeight="1">
      <c r="X709" s="37"/>
      <c r="Y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BD709" s="11"/>
      <c r="BE709" s="11"/>
      <c r="BF709" s="11"/>
      <c r="BG709" s="11"/>
      <c r="BH709" s="11"/>
      <c r="BI709" s="11"/>
      <c r="BJ709" s="11"/>
      <c r="BK709" s="11"/>
    </row>
    <row r="710" ht="15.75" customHeight="1">
      <c r="X710" s="37"/>
      <c r="Y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BD710" s="11"/>
      <c r="BE710" s="11"/>
      <c r="BF710" s="11"/>
      <c r="BG710" s="11"/>
      <c r="BH710" s="11"/>
      <c r="BI710" s="11"/>
      <c r="BJ710" s="11"/>
      <c r="BK710" s="11"/>
    </row>
    <row r="711" ht="15.75" customHeight="1">
      <c r="X711" s="37"/>
      <c r="Y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BD711" s="11"/>
      <c r="BE711" s="11"/>
      <c r="BF711" s="11"/>
      <c r="BG711" s="11"/>
      <c r="BH711" s="11"/>
      <c r="BI711" s="11"/>
      <c r="BJ711" s="11"/>
      <c r="BK711" s="11"/>
    </row>
    <row r="712" ht="15.75" customHeight="1">
      <c r="X712" s="37"/>
      <c r="Y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BD712" s="11"/>
      <c r="BE712" s="11"/>
      <c r="BF712" s="11"/>
      <c r="BG712" s="11"/>
      <c r="BH712" s="11"/>
      <c r="BI712" s="11"/>
      <c r="BJ712" s="11"/>
      <c r="BK712" s="11"/>
    </row>
    <row r="713" ht="15.75" customHeight="1">
      <c r="X713" s="37"/>
      <c r="Y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BD713" s="11"/>
      <c r="BE713" s="11"/>
      <c r="BF713" s="11"/>
      <c r="BG713" s="11"/>
      <c r="BH713" s="11"/>
      <c r="BI713" s="11"/>
      <c r="BJ713" s="11"/>
      <c r="BK713" s="11"/>
    </row>
    <row r="714" ht="15.75" customHeight="1">
      <c r="X714" s="37"/>
      <c r="Y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BD714" s="11"/>
      <c r="BE714" s="11"/>
      <c r="BF714" s="11"/>
      <c r="BG714" s="11"/>
      <c r="BH714" s="11"/>
      <c r="BI714" s="11"/>
      <c r="BJ714" s="11"/>
      <c r="BK714" s="11"/>
    </row>
    <row r="715" ht="15.75" customHeight="1">
      <c r="X715" s="37"/>
      <c r="Y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BD715" s="11"/>
      <c r="BE715" s="11"/>
      <c r="BF715" s="11"/>
      <c r="BG715" s="11"/>
      <c r="BH715" s="11"/>
      <c r="BI715" s="11"/>
      <c r="BJ715" s="11"/>
      <c r="BK715" s="11"/>
    </row>
    <row r="716" ht="15.75" customHeight="1">
      <c r="X716" s="37"/>
      <c r="Y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BD716" s="11"/>
      <c r="BE716" s="11"/>
      <c r="BF716" s="11"/>
      <c r="BG716" s="11"/>
      <c r="BH716" s="11"/>
      <c r="BI716" s="11"/>
      <c r="BJ716" s="11"/>
      <c r="BK716" s="11"/>
    </row>
    <row r="717" ht="15.75" customHeight="1">
      <c r="X717" s="37"/>
      <c r="Y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BD717" s="11"/>
      <c r="BE717" s="11"/>
      <c r="BF717" s="11"/>
      <c r="BG717" s="11"/>
      <c r="BH717" s="11"/>
      <c r="BI717" s="11"/>
      <c r="BJ717" s="11"/>
      <c r="BK717" s="11"/>
    </row>
    <row r="718" ht="15.75" customHeight="1">
      <c r="X718" s="37"/>
      <c r="Y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BD718" s="11"/>
      <c r="BE718" s="11"/>
      <c r="BF718" s="11"/>
      <c r="BG718" s="11"/>
      <c r="BH718" s="11"/>
      <c r="BI718" s="11"/>
      <c r="BJ718" s="11"/>
      <c r="BK718" s="11"/>
    </row>
    <row r="719" ht="15.75" customHeight="1">
      <c r="X719" s="37"/>
      <c r="Y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BD719" s="11"/>
      <c r="BE719" s="11"/>
      <c r="BF719" s="11"/>
      <c r="BG719" s="11"/>
      <c r="BH719" s="11"/>
      <c r="BI719" s="11"/>
      <c r="BJ719" s="11"/>
      <c r="BK719" s="11"/>
    </row>
    <row r="720" ht="15.75" customHeight="1">
      <c r="X720" s="37"/>
      <c r="Y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BD720" s="11"/>
      <c r="BE720" s="11"/>
      <c r="BF720" s="11"/>
      <c r="BG720" s="11"/>
      <c r="BH720" s="11"/>
      <c r="BI720" s="11"/>
      <c r="BJ720" s="11"/>
      <c r="BK720" s="11"/>
    </row>
    <row r="721" ht="15.75" customHeight="1">
      <c r="X721" s="37"/>
      <c r="Y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BD721" s="11"/>
      <c r="BE721" s="11"/>
      <c r="BF721" s="11"/>
      <c r="BG721" s="11"/>
      <c r="BH721" s="11"/>
      <c r="BI721" s="11"/>
      <c r="BJ721" s="11"/>
      <c r="BK721" s="11"/>
    </row>
    <row r="722" ht="15.75" customHeight="1">
      <c r="X722" s="37"/>
      <c r="Y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BD722" s="11"/>
      <c r="BE722" s="11"/>
      <c r="BF722" s="11"/>
      <c r="BG722" s="11"/>
      <c r="BH722" s="11"/>
      <c r="BI722" s="11"/>
      <c r="BJ722" s="11"/>
      <c r="BK722" s="11"/>
    </row>
    <row r="723" ht="15.75" customHeight="1">
      <c r="X723" s="37"/>
      <c r="Y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BD723" s="11"/>
      <c r="BE723" s="11"/>
      <c r="BF723" s="11"/>
      <c r="BG723" s="11"/>
      <c r="BH723" s="11"/>
      <c r="BI723" s="11"/>
      <c r="BJ723" s="11"/>
      <c r="BK723" s="11"/>
    </row>
    <row r="724" ht="15.75" customHeight="1">
      <c r="X724" s="37"/>
      <c r="Y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BD724" s="11"/>
      <c r="BE724" s="11"/>
      <c r="BF724" s="11"/>
      <c r="BG724" s="11"/>
      <c r="BH724" s="11"/>
      <c r="BI724" s="11"/>
      <c r="BJ724" s="11"/>
      <c r="BK724" s="11"/>
    </row>
    <row r="725" ht="15.75" customHeight="1">
      <c r="X725" s="37"/>
      <c r="Y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BD725" s="11"/>
      <c r="BE725" s="11"/>
      <c r="BF725" s="11"/>
      <c r="BG725" s="11"/>
      <c r="BH725" s="11"/>
      <c r="BI725" s="11"/>
      <c r="BJ725" s="11"/>
      <c r="BK725" s="11"/>
    </row>
    <row r="726" ht="15.75" customHeight="1">
      <c r="X726" s="37"/>
      <c r="Y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BD726" s="11"/>
      <c r="BE726" s="11"/>
      <c r="BF726" s="11"/>
      <c r="BG726" s="11"/>
      <c r="BH726" s="11"/>
      <c r="BI726" s="11"/>
      <c r="BJ726" s="11"/>
      <c r="BK726" s="11"/>
    </row>
    <row r="727" ht="15.75" customHeight="1">
      <c r="X727" s="37"/>
      <c r="Y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BD727" s="11"/>
      <c r="BE727" s="11"/>
      <c r="BF727" s="11"/>
      <c r="BG727" s="11"/>
      <c r="BH727" s="11"/>
      <c r="BI727" s="11"/>
      <c r="BJ727" s="11"/>
      <c r="BK727" s="11"/>
    </row>
    <row r="728" ht="15.75" customHeight="1">
      <c r="X728" s="37"/>
      <c r="Y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BD728" s="11"/>
      <c r="BE728" s="11"/>
      <c r="BF728" s="11"/>
      <c r="BG728" s="11"/>
      <c r="BH728" s="11"/>
      <c r="BI728" s="11"/>
      <c r="BJ728" s="11"/>
      <c r="BK728" s="11"/>
    </row>
    <row r="729" ht="15.75" customHeight="1">
      <c r="X729" s="37"/>
      <c r="Y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BD729" s="11"/>
      <c r="BE729" s="11"/>
      <c r="BF729" s="11"/>
      <c r="BG729" s="11"/>
      <c r="BH729" s="11"/>
      <c r="BI729" s="11"/>
      <c r="BJ729" s="11"/>
      <c r="BK729" s="11"/>
    </row>
    <row r="730" ht="15.75" customHeight="1">
      <c r="X730" s="37"/>
      <c r="Y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BD730" s="11"/>
      <c r="BE730" s="11"/>
      <c r="BF730" s="11"/>
      <c r="BG730" s="11"/>
      <c r="BH730" s="11"/>
      <c r="BI730" s="11"/>
      <c r="BJ730" s="11"/>
      <c r="BK730" s="11"/>
    </row>
    <row r="731" ht="15.75" customHeight="1">
      <c r="X731" s="37"/>
      <c r="Y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BD731" s="11"/>
      <c r="BE731" s="11"/>
      <c r="BF731" s="11"/>
      <c r="BG731" s="11"/>
      <c r="BH731" s="11"/>
      <c r="BI731" s="11"/>
      <c r="BJ731" s="11"/>
      <c r="BK731" s="11"/>
    </row>
    <row r="732" ht="15.75" customHeight="1">
      <c r="X732" s="37"/>
      <c r="Y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BD732" s="11"/>
      <c r="BE732" s="11"/>
      <c r="BF732" s="11"/>
      <c r="BG732" s="11"/>
      <c r="BH732" s="11"/>
      <c r="BI732" s="11"/>
      <c r="BJ732" s="11"/>
      <c r="BK732" s="11"/>
    </row>
    <row r="733" ht="15.75" customHeight="1">
      <c r="X733" s="37"/>
      <c r="Y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BD733" s="11"/>
      <c r="BE733" s="11"/>
      <c r="BF733" s="11"/>
      <c r="BG733" s="11"/>
      <c r="BH733" s="11"/>
      <c r="BI733" s="11"/>
      <c r="BJ733" s="11"/>
      <c r="BK733" s="11"/>
    </row>
    <row r="734" ht="15.75" customHeight="1">
      <c r="X734" s="37"/>
      <c r="Y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BD734" s="11"/>
      <c r="BE734" s="11"/>
      <c r="BF734" s="11"/>
      <c r="BG734" s="11"/>
      <c r="BH734" s="11"/>
      <c r="BI734" s="11"/>
      <c r="BJ734" s="11"/>
      <c r="BK734" s="11"/>
    </row>
    <row r="735" ht="15.75" customHeight="1">
      <c r="X735" s="37"/>
      <c r="Y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BD735" s="11"/>
      <c r="BE735" s="11"/>
      <c r="BF735" s="11"/>
      <c r="BG735" s="11"/>
      <c r="BH735" s="11"/>
      <c r="BI735" s="11"/>
      <c r="BJ735" s="11"/>
      <c r="BK735" s="11"/>
    </row>
    <row r="736" ht="15.75" customHeight="1">
      <c r="X736" s="37"/>
      <c r="Y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BD736" s="11"/>
      <c r="BE736" s="11"/>
      <c r="BF736" s="11"/>
      <c r="BG736" s="11"/>
      <c r="BH736" s="11"/>
      <c r="BI736" s="11"/>
      <c r="BJ736" s="11"/>
      <c r="BK736" s="11"/>
    </row>
    <row r="737" ht="15.75" customHeight="1">
      <c r="X737" s="37"/>
      <c r="Y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BD737" s="11"/>
      <c r="BE737" s="11"/>
      <c r="BF737" s="11"/>
      <c r="BG737" s="11"/>
      <c r="BH737" s="11"/>
      <c r="BI737" s="11"/>
      <c r="BJ737" s="11"/>
      <c r="BK737" s="11"/>
    </row>
    <row r="738" ht="15.75" customHeight="1">
      <c r="X738" s="37"/>
      <c r="Y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BD738" s="11"/>
      <c r="BE738" s="11"/>
      <c r="BF738" s="11"/>
      <c r="BG738" s="11"/>
      <c r="BH738" s="11"/>
      <c r="BI738" s="11"/>
      <c r="BJ738" s="11"/>
      <c r="BK738" s="11"/>
    </row>
    <row r="739" ht="15.75" customHeight="1">
      <c r="X739" s="37"/>
      <c r="Y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BD739" s="11"/>
      <c r="BE739" s="11"/>
      <c r="BF739" s="11"/>
      <c r="BG739" s="11"/>
      <c r="BH739" s="11"/>
      <c r="BI739" s="11"/>
      <c r="BJ739" s="11"/>
      <c r="BK739" s="11"/>
    </row>
    <row r="740" ht="15.75" customHeight="1">
      <c r="X740" s="37"/>
      <c r="Y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BD740" s="11"/>
      <c r="BE740" s="11"/>
      <c r="BF740" s="11"/>
      <c r="BG740" s="11"/>
      <c r="BH740" s="11"/>
      <c r="BI740" s="11"/>
      <c r="BJ740" s="11"/>
      <c r="BK740" s="11"/>
    </row>
    <row r="741" ht="15.75" customHeight="1">
      <c r="X741" s="37"/>
      <c r="Y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BD741" s="11"/>
      <c r="BE741" s="11"/>
      <c r="BF741" s="11"/>
      <c r="BG741" s="11"/>
      <c r="BH741" s="11"/>
      <c r="BI741" s="11"/>
      <c r="BJ741" s="11"/>
      <c r="BK741" s="11"/>
    </row>
    <row r="742" ht="15.75" customHeight="1">
      <c r="X742" s="37"/>
      <c r="Y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BD742" s="11"/>
      <c r="BE742" s="11"/>
      <c r="BF742" s="11"/>
      <c r="BG742" s="11"/>
      <c r="BH742" s="11"/>
      <c r="BI742" s="11"/>
      <c r="BJ742" s="11"/>
      <c r="BK742" s="11"/>
    </row>
    <row r="743" ht="15.75" customHeight="1">
      <c r="X743" s="37"/>
      <c r="Y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BD743" s="11"/>
      <c r="BE743" s="11"/>
      <c r="BF743" s="11"/>
      <c r="BG743" s="11"/>
      <c r="BH743" s="11"/>
      <c r="BI743" s="11"/>
      <c r="BJ743" s="11"/>
      <c r="BK743" s="11"/>
    </row>
    <row r="744" ht="15.75" customHeight="1">
      <c r="X744" s="37"/>
      <c r="Y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BD744" s="11"/>
      <c r="BE744" s="11"/>
      <c r="BF744" s="11"/>
      <c r="BG744" s="11"/>
      <c r="BH744" s="11"/>
      <c r="BI744" s="11"/>
      <c r="BJ744" s="11"/>
      <c r="BK744" s="11"/>
    </row>
    <row r="745" ht="15.75" customHeight="1">
      <c r="X745" s="37"/>
      <c r="Y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BD745" s="11"/>
      <c r="BE745" s="11"/>
      <c r="BF745" s="11"/>
      <c r="BG745" s="11"/>
      <c r="BH745" s="11"/>
      <c r="BI745" s="11"/>
      <c r="BJ745" s="11"/>
      <c r="BK745" s="11"/>
    </row>
    <row r="746" ht="15.75" customHeight="1">
      <c r="X746" s="37"/>
      <c r="Y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BD746" s="11"/>
      <c r="BE746" s="11"/>
      <c r="BF746" s="11"/>
      <c r="BG746" s="11"/>
      <c r="BH746" s="11"/>
      <c r="BI746" s="11"/>
      <c r="BJ746" s="11"/>
      <c r="BK746" s="11"/>
    </row>
    <row r="747" ht="15.75" customHeight="1">
      <c r="X747" s="37"/>
      <c r="Y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BD747" s="11"/>
      <c r="BE747" s="11"/>
      <c r="BF747" s="11"/>
      <c r="BG747" s="11"/>
      <c r="BH747" s="11"/>
      <c r="BI747" s="11"/>
      <c r="BJ747" s="11"/>
      <c r="BK747" s="11"/>
    </row>
    <row r="748" ht="15.75" customHeight="1">
      <c r="X748" s="37"/>
      <c r="Y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BD748" s="11"/>
      <c r="BE748" s="11"/>
      <c r="BF748" s="11"/>
      <c r="BG748" s="11"/>
      <c r="BH748" s="11"/>
      <c r="BI748" s="11"/>
      <c r="BJ748" s="11"/>
      <c r="BK748" s="11"/>
    </row>
    <row r="749" ht="15.75" customHeight="1">
      <c r="X749" s="37"/>
      <c r="Y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BD749" s="11"/>
      <c r="BE749" s="11"/>
      <c r="BF749" s="11"/>
      <c r="BG749" s="11"/>
      <c r="BH749" s="11"/>
      <c r="BI749" s="11"/>
      <c r="BJ749" s="11"/>
      <c r="BK749" s="11"/>
    </row>
    <row r="750" ht="15.75" customHeight="1">
      <c r="X750" s="37"/>
      <c r="Y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BD750" s="11"/>
      <c r="BE750" s="11"/>
      <c r="BF750" s="11"/>
      <c r="BG750" s="11"/>
      <c r="BH750" s="11"/>
      <c r="BI750" s="11"/>
      <c r="BJ750" s="11"/>
      <c r="BK750" s="11"/>
    </row>
    <row r="751" ht="15.75" customHeight="1">
      <c r="X751" s="37"/>
      <c r="Y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BD751" s="11"/>
      <c r="BE751" s="11"/>
      <c r="BF751" s="11"/>
      <c r="BG751" s="11"/>
      <c r="BH751" s="11"/>
      <c r="BI751" s="11"/>
      <c r="BJ751" s="11"/>
      <c r="BK751" s="11"/>
    </row>
    <row r="752" ht="15.75" customHeight="1">
      <c r="X752" s="37"/>
      <c r="Y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BD752" s="11"/>
      <c r="BE752" s="11"/>
      <c r="BF752" s="11"/>
      <c r="BG752" s="11"/>
      <c r="BH752" s="11"/>
      <c r="BI752" s="11"/>
      <c r="BJ752" s="11"/>
      <c r="BK752" s="11"/>
    </row>
    <row r="753" ht="15.75" customHeight="1">
      <c r="X753" s="37"/>
      <c r="Y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BD753" s="11"/>
      <c r="BE753" s="11"/>
      <c r="BF753" s="11"/>
      <c r="BG753" s="11"/>
      <c r="BH753" s="11"/>
      <c r="BI753" s="11"/>
      <c r="BJ753" s="11"/>
      <c r="BK753" s="11"/>
    </row>
    <row r="754" ht="15.75" customHeight="1">
      <c r="X754" s="37"/>
      <c r="Y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BD754" s="11"/>
      <c r="BE754" s="11"/>
      <c r="BF754" s="11"/>
      <c r="BG754" s="11"/>
      <c r="BH754" s="11"/>
      <c r="BI754" s="11"/>
      <c r="BJ754" s="11"/>
      <c r="BK754" s="11"/>
    </row>
    <row r="755" ht="15.75" customHeight="1">
      <c r="X755" s="37"/>
      <c r="Y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BD755" s="11"/>
      <c r="BE755" s="11"/>
      <c r="BF755" s="11"/>
      <c r="BG755" s="11"/>
      <c r="BH755" s="11"/>
      <c r="BI755" s="11"/>
      <c r="BJ755" s="11"/>
      <c r="BK755" s="11"/>
    </row>
    <row r="756" ht="15.75" customHeight="1">
      <c r="X756" s="37"/>
      <c r="Y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BD756" s="11"/>
      <c r="BE756" s="11"/>
      <c r="BF756" s="11"/>
      <c r="BG756" s="11"/>
      <c r="BH756" s="11"/>
      <c r="BI756" s="11"/>
      <c r="BJ756" s="11"/>
      <c r="BK756" s="11"/>
    </row>
    <row r="757" ht="15.75" customHeight="1">
      <c r="X757" s="37"/>
      <c r="Y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BD757" s="11"/>
      <c r="BE757" s="11"/>
      <c r="BF757" s="11"/>
      <c r="BG757" s="11"/>
      <c r="BH757" s="11"/>
      <c r="BI757" s="11"/>
      <c r="BJ757" s="11"/>
      <c r="BK757" s="11"/>
    </row>
    <row r="758" ht="15.75" customHeight="1">
      <c r="X758" s="37"/>
      <c r="Y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BD758" s="11"/>
      <c r="BE758" s="11"/>
      <c r="BF758" s="11"/>
      <c r="BG758" s="11"/>
      <c r="BH758" s="11"/>
      <c r="BI758" s="11"/>
      <c r="BJ758" s="11"/>
      <c r="BK758" s="11"/>
    </row>
    <row r="759" ht="15.75" customHeight="1">
      <c r="X759" s="37"/>
      <c r="Y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BD759" s="11"/>
      <c r="BE759" s="11"/>
      <c r="BF759" s="11"/>
      <c r="BG759" s="11"/>
      <c r="BH759" s="11"/>
      <c r="BI759" s="11"/>
      <c r="BJ759" s="11"/>
      <c r="BK759" s="11"/>
    </row>
    <row r="760" ht="15.75" customHeight="1">
      <c r="X760" s="37"/>
      <c r="Y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BD760" s="11"/>
      <c r="BE760" s="11"/>
      <c r="BF760" s="11"/>
      <c r="BG760" s="11"/>
      <c r="BH760" s="11"/>
      <c r="BI760" s="11"/>
      <c r="BJ760" s="11"/>
      <c r="BK760" s="11"/>
    </row>
    <row r="761" ht="15.75" customHeight="1">
      <c r="X761" s="37"/>
      <c r="Y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BD761" s="11"/>
      <c r="BE761" s="11"/>
      <c r="BF761" s="11"/>
      <c r="BG761" s="11"/>
      <c r="BH761" s="11"/>
      <c r="BI761" s="11"/>
      <c r="BJ761" s="11"/>
      <c r="BK761" s="11"/>
    </row>
    <row r="762" ht="15.75" customHeight="1">
      <c r="X762" s="37"/>
      <c r="Y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BD762" s="11"/>
      <c r="BE762" s="11"/>
      <c r="BF762" s="11"/>
      <c r="BG762" s="11"/>
      <c r="BH762" s="11"/>
      <c r="BI762" s="11"/>
      <c r="BJ762" s="11"/>
      <c r="BK762" s="11"/>
    </row>
    <row r="763" ht="15.75" customHeight="1">
      <c r="X763" s="37"/>
      <c r="Y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BD763" s="11"/>
      <c r="BE763" s="11"/>
      <c r="BF763" s="11"/>
      <c r="BG763" s="11"/>
      <c r="BH763" s="11"/>
      <c r="BI763" s="11"/>
      <c r="BJ763" s="11"/>
      <c r="BK763" s="11"/>
    </row>
    <row r="764" ht="15.75" customHeight="1">
      <c r="X764" s="37"/>
      <c r="Y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BD764" s="11"/>
      <c r="BE764" s="11"/>
      <c r="BF764" s="11"/>
      <c r="BG764" s="11"/>
      <c r="BH764" s="11"/>
      <c r="BI764" s="11"/>
      <c r="BJ764" s="11"/>
      <c r="BK764" s="11"/>
    </row>
    <row r="765" ht="15.75" customHeight="1">
      <c r="X765" s="37"/>
      <c r="Y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BD765" s="11"/>
      <c r="BE765" s="11"/>
      <c r="BF765" s="11"/>
      <c r="BG765" s="11"/>
      <c r="BH765" s="11"/>
      <c r="BI765" s="11"/>
      <c r="BJ765" s="11"/>
      <c r="BK765" s="11"/>
    </row>
    <row r="766" ht="15.75" customHeight="1">
      <c r="X766" s="37"/>
      <c r="Y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BD766" s="11"/>
      <c r="BE766" s="11"/>
      <c r="BF766" s="11"/>
      <c r="BG766" s="11"/>
      <c r="BH766" s="11"/>
      <c r="BI766" s="11"/>
      <c r="BJ766" s="11"/>
      <c r="BK766" s="11"/>
    </row>
    <row r="767" ht="15.75" customHeight="1">
      <c r="X767" s="37"/>
      <c r="Y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BD767" s="11"/>
      <c r="BE767" s="11"/>
      <c r="BF767" s="11"/>
      <c r="BG767" s="11"/>
      <c r="BH767" s="11"/>
      <c r="BI767" s="11"/>
      <c r="BJ767" s="11"/>
      <c r="BK767" s="11"/>
    </row>
    <row r="768" ht="15.75" customHeight="1">
      <c r="X768" s="37"/>
      <c r="Y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BD768" s="11"/>
      <c r="BE768" s="11"/>
      <c r="BF768" s="11"/>
      <c r="BG768" s="11"/>
      <c r="BH768" s="11"/>
      <c r="BI768" s="11"/>
      <c r="BJ768" s="11"/>
      <c r="BK768" s="11"/>
    </row>
    <row r="769" ht="15.75" customHeight="1">
      <c r="X769" s="37"/>
      <c r="Y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BD769" s="11"/>
      <c r="BE769" s="11"/>
      <c r="BF769" s="11"/>
      <c r="BG769" s="11"/>
      <c r="BH769" s="11"/>
      <c r="BI769" s="11"/>
      <c r="BJ769" s="11"/>
      <c r="BK769" s="11"/>
    </row>
    <row r="770" ht="15.75" customHeight="1">
      <c r="X770" s="37"/>
      <c r="Y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BD770" s="11"/>
      <c r="BE770" s="11"/>
      <c r="BF770" s="11"/>
      <c r="BG770" s="11"/>
      <c r="BH770" s="11"/>
      <c r="BI770" s="11"/>
      <c r="BJ770" s="11"/>
      <c r="BK770" s="11"/>
    </row>
    <row r="771" ht="15.75" customHeight="1">
      <c r="X771" s="37"/>
      <c r="Y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BD771" s="11"/>
      <c r="BE771" s="11"/>
      <c r="BF771" s="11"/>
      <c r="BG771" s="11"/>
      <c r="BH771" s="11"/>
      <c r="BI771" s="11"/>
      <c r="BJ771" s="11"/>
      <c r="BK771" s="11"/>
    </row>
    <row r="772" ht="15.75" customHeight="1">
      <c r="X772" s="37"/>
      <c r="Y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BD772" s="11"/>
      <c r="BE772" s="11"/>
      <c r="BF772" s="11"/>
      <c r="BG772" s="11"/>
      <c r="BH772" s="11"/>
      <c r="BI772" s="11"/>
      <c r="BJ772" s="11"/>
      <c r="BK772" s="11"/>
    </row>
    <row r="773" ht="15.75" customHeight="1">
      <c r="X773" s="37"/>
      <c r="Y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BD773" s="11"/>
      <c r="BE773" s="11"/>
      <c r="BF773" s="11"/>
      <c r="BG773" s="11"/>
      <c r="BH773" s="11"/>
      <c r="BI773" s="11"/>
      <c r="BJ773" s="11"/>
      <c r="BK773" s="11"/>
    </row>
    <row r="774" ht="15.75" customHeight="1">
      <c r="X774" s="37"/>
      <c r="Y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BD774" s="11"/>
      <c r="BE774" s="11"/>
      <c r="BF774" s="11"/>
      <c r="BG774" s="11"/>
      <c r="BH774" s="11"/>
      <c r="BI774" s="11"/>
      <c r="BJ774" s="11"/>
      <c r="BK774" s="11"/>
    </row>
    <row r="775" ht="15.75" customHeight="1">
      <c r="X775" s="37"/>
      <c r="Y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BD775" s="11"/>
      <c r="BE775" s="11"/>
      <c r="BF775" s="11"/>
      <c r="BG775" s="11"/>
      <c r="BH775" s="11"/>
      <c r="BI775" s="11"/>
      <c r="BJ775" s="11"/>
      <c r="BK775" s="11"/>
    </row>
    <row r="776" ht="15.75" customHeight="1">
      <c r="X776" s="37"/>
      <c r="Y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BD776" s="11"/>
      <c r="BE776" s="11"/>
      <c r="BF776" s="11"/>
      <c r="BG776" s="11"/>
      <c r="BH776" s="11"/>
      <c r="BI776" s="11"/>
      <c r="BJ776" s="11"/>
      <c r="BK776" s="11"/>
    </row>
    <row r="777" ht="15.75" customHeight="1">
      <c r="X777" s="37"/>
      <c r="Y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BD777" s="11"/>
      <c r="BE777" s="11"/>
      <c r="BF777" s="11"/>
      <c r="BG777" s="11"/>
      <c r="BH777" s="11"/>
      <c r="BI777" s="11"/>
      <c r="BJ777" s="11"/>
      <c r="BK777" s="11"/>
    </row>
    <row r="778" ht="15.75" customHeight="1">
      <c r="X778" s="37"/>
      <c r="Y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BD778" s="11"/>
      <c r="BE778" s="11"/>
      <c r="BF778" s="11"/>
      <c r="BG778" s="11"/>
      <c r="BH778" s="11"/>
      <c r="BI778" s="11"/>
      <c r="BJ778" s="11"/>
      <c r="BK778" s="11"/>
    </row>
    <row r="779" ht="15.75" customHeight="1">
      <c r="X779" s="37"/>
      <c r="Y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BD779" s="11"/>
      <c r="BE779" s="11"/>
      <c r="BF779" s="11"/>
      <c r="BG779" s="11"/>
      <c r="BH779" s="11"/>
      <c r="BI779" s="11"/>
      <c r="BJ779" s="11"/>
      <c r="BK779" s="11"/>
    </row>
    <row r="780" ht="15.75" customHeight="1">
      <c r="X780" s="37"/>
      <c r="Y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BD780" s="11"/>
      <c r="BE780" s="11"/>
      <c r="BF780" s="11"/>
      <c r="BG780" s="11"/>
      <c r="BH780" s="11"/>
      <c r="BI780" s="11"/>
      <c r="BJ780" s="11"/>
      <c r="BK780" s="11"/>
    </row>
    <row r="781" ht="15.75" customHeight="1">
      <c r="X781" s="37"/>
      <c r="Y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BD781" s="11"/>
      <c r="BE781" s="11"/>
      <c r="BF781" s="11"/>
      <c r="BG781" s="11"/>
      <c r="BH781" s="11"/>
      <c r="BI781" s="11"/>
      <c r="BJ781" s="11"/>
      <c r="BK781" s="11"/>
    </row>
    <row r="782" ht="15.75" customHeight="1">
      <c r="X782" s="37"/>
      <c r="Y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BD782" s="11"/>
      <c r="BE782" s="11"/>
      <c r="BF782" s="11"/>
      <c r="BG782" s="11"/>
      <c r="BH782" s="11"/>
      <c r="BI782" s="11"/>
      <c r="BJ782" s="11"/>
      <c r="BK782" s="11"/>
    </row>
    <row r="783" ht="15.75" customHeight="1">
      <c r="X783" s="37"/>
      <c r="Y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BD783" s="11"/>
      <c r="BE783" s="11"/>
      <c r="BF783" s="11"/>
      <c r="BG783" s="11"/>
      <c r="BH783" s="11"/>
      <c r="BI783" s="11"/>
      <c r="BJ783" s="11"/>
      <c r="BK783" s="11"/>
    </row>
    <row r="784" ht="15.75" customHeight="1">
      <c r="X784" s="37"/>
      <c r="Y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BD784" s="11"/>
      <c r="BE784" s="11"/>
      <c r="BF784" s="11"/>
      <c r="BG784" s="11"/>
      <c r="BH784" s="11"/>
      <c r="BI784" s="11"/>
      <c r="BJ784" s="11"/>
      <c r="BK784" s="11"/>
    </row>
    <row r="785" ht="15.75" customHeight="1">
      <c r="X785" s="37"/>
      <c r="Y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BD785" s="11"/>
      <c r="BE785" s="11"/>
      <c r="BF785" s="11"/>
      <c r="BG785" s="11"/>
      <c r="BH785" s="11"/>
      <c r="BI785" s="11"/>
      <c r="BJ785" s="11"/>
      <c r="BK785" s="11"/>
    </row>
    <row r="786" ht="15.75" customHeight="1">
      <c r="X786" s="37"/>
      <c r="Y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BD786" s="11"/>
      <c r="BE786" s="11"/>
      <c r="BF786" s="11"/>
      <c r="BG786" s="11"/>
      <c r="BH786" s="11"/>
      <c r="BI786" s="11"/>
      <c r="BJ786" s="11"/>
      <c r="BK786" s="11"/>
    </row>
    <row r="787" ht="15.75" customHeight="1">
      <c r="X787" s="37"/>
      <c r="Y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BD787" s="11"/>
      <c r="BE787" s="11"/>
      <c r="BF787" s="11"/>
      <c r="BG787" s="11"/>
      <c r="BH787" s="11"/>
      <c r="BI787" s="11"/>
      <c r="BJ787" s="11"/>
      <c r="BK787" s="11"/>
    </row>
    <row r="788" ht="15.75" customHeight="1">
      <c r="X788" s="37"/>
      <c r="Y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BD788" s="11"/>
      <c r="BE788" s="11"/>
      <c r="BF788" s="11"/>
      <c r="BG788" s="11"/>
      <c r="BH788" s="11"/>
      <c r="BI788" s="11"/>
      <c r="BJ788" s="11"/>
      <c r="BK788" s="11"/>
    </row>
    <row r="789" ht="15.75" customHeight="1">
      <c r="X789" s="37"/>
      <c r="Y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BD789" s="11"/>
      <c r="BE789" s="11"/>
      <c r="BF789" s="11"/>
      <c r="BG789" s="11"/>
      <c r="BH789" s="11"/>
      <c r="BI789" s="11"/>
      <c r="BJ789" s="11"/>
      <c r="BK789" s="11"/>
    </row>
    <row r="790" ht="15.75" customHeight="1">
      <c r="X790" s="37"/>
      <c r="Y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BD790" s="11"/>
      <c r="BE790" s="11"/>
      <c r="BF790" s="11"/>
      <c r="BG790" s="11"/>
      <c r="BH790" s="11"/>
      <c r="BI790" s="11"/>
      <c r="BJ790" s="11"/>
      <c r="BK790" s="11"/>
    </row>
    <row r="791" ht="15.75" customHeight="1">
      <c r="X791" s="37"/>
      <c r="Y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BD791" s="11"/>
      <c r="BE791" s="11"/>
      <c r="BF791" s="11"/>
      <c r="BG791" s="11"/>
      <c r="BH791" s="11"/>
      <c r="BI791" s="11"/>
      <c r="BJ791" s="11"/>
      <c r="BK791" s="11"/>
    </row>
    <row r="792" ht="15.75" customHeight="1">
      <c r="X792" s="37"/>
      <c r="Y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BD792" s="11"/>
      <c r="BE792" s="11"/>
      <c r="BF792" s="11"/>
      <c r="BG792" s="11"/>
      <c r="BH792" s="11"/>
      <c r="BI792" s="11"/>
      <c r="BJ792" s="11"/>
      <c r="BK792" s="11"/>
    </row>
    <row r="793" ht="15.75" customHeight="1">
      <c r="X793" s="37"/>
      <c r="Y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BD793" s="11"/>
      <c r="BE793" s="11"/>
      <c r="BF793" s="11"/>
      <c r="BG793" s="11"/>
      <c r="BH793" s="11"/>
      <c r="BI793" s="11"/>
      <c r="BJ793" s="11"/>
      <c r="BK793" s="11"/>
    </row>
    <row r="794" ht="15.75" customHeight="1">
      <c r="X794" s="37"/>
      <c r="Y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BD794" s="11"/>
      <c r="BE794" s="11"/>
      <c r="BF794" s="11"/>
      <c r="BG794" s="11"/>
      <c r="BH794" s="11"/>
      <c r="BI794" s="11"/>
      <c r="BJ794" s="11"/>
      <c r="BK794" s="11"/>
    </row>
    <row r="795" ht="15.75" customHeight="1">
      <c r="X795" s="37"/>
      <c r="Y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BD795" s="11"/>
      <c r="BE795" s="11"/>
      <c r="BF795" s="11"/>
      <c r="BG795" s="11"/>
      <c r="BH795" s="11"/>
      <c r="BI795" s="11"/>
      <c r="BJ795" s="11"/>
      <c r="BK795" s="11"/>
    </row>
    <row r="796" ht="15.75" customHeight="1">
      <c r="X796" s="37"/>
      <c r="Y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BD796" s="11"/>
      <c r="BE796" s="11"/>
      <c r="BF796" s="11"/>
      <c r="BG796" s="11"/>
      <c r="BH796" s="11"/>
      <c r="BI796" s="11"/>
      <c r="BJ796" s="11"/>
      <c r="BK796" s="11"/>
    </row>
    <row r="797" ht="15.75" customHeight="1">
      <c r="X797" s="37"/>
      <c r="Y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BD797" s="11"/>
      <c r="BE797" s="11"/>
      <c r="BF797" s="11"/>
      <c r="BG797" s="11"/>
      <c r="BH797" s="11"/>
      <c r="BI797" s="11"/>
      <c r="BJ797" s="11"/>
      <c r="BK797" s="11"/>
    </row>
    <row r="798" ht="15.75" customHeight="1">
      <c r="X798" s="37"/>
      <c r="Y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BD798" s="11"/>
      <c r="BE798" s="11"/>
      <c r="BF798" s="11"/>
      <c r="BG798" s="11"/>
      <c r="BH798" s="11"/>
      <c r="BI798" s="11"/>
      <c r="BJ798" s="11"/>
      <c r="BK798" s="11"/>
    </row>
    <row r="799" ht="15.75" customHeight="1">
      <c r="X799" s="37"/>
      <c r="Y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BD799" s="11"/>
      <c r="BE799" s="11"/>
      <c r="BF799" s="11"/>
      <c r="BG799" s="11"/>
      <c r="BH799" s="11"/>
      <c r="BI799" s="11"/>
      <c r="BJ799" s="11"/>
      <c r="BK799" s="11"/>
    </row>
    <row r="800" ht="15.75" customHeight="1">
      <c r="X800" s="37"/>
      <c r="Y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BD800" s="11"/>
      <c r="BE800" s="11"/>
      <c r="BF800" s="11"/>
      <c r="BG800" s="11"/>
      <c r="BH800" s="11"/>
      <c r="BI800" s="11"/>
      <c r="BJ800" s="11"/>
      <c r="BK800" s="11"/>
    </row>
    <row r="801" ht="15.75" customHeight="1">
      <c r="X801" s="37"/>
      <c r="Y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BD801" s="11"/>
      <c r="BE801" s="11"/>
      <c r="BF801" s="11"/>
      <c r="BG801" s="11"/>
      <c r="BH801" s="11"/>
      <c r="BI801" s="11"/>
      <c r="BJ801" s="11"/>
      <c r="BK801" s="11"/>
    </row>
    <row r="802" ht="15.75" customHeight="1">
      <c r="X802" s="37"/>
      <c r="Y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BD802" s="11"/>
      <c r="BE802" s="11"/>
      <c r="BF802" s="11"/>
      <c r="BG802" s="11"/>
      <c r="BH802" s="11"/>
      <c r="BI802" s="11"/>
      <c r="BJ802" s="11"/>
      <c r="BK802" s="11"/>
    </row>
    <row r="803" ht="15.75" customHeight="1">
      <c r="X803" s="37"/>
      <c r="Y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BD803" s="11"/>
      <c r="BE803" s="11"/>
      <c r="BF803" s="11"/>
      <c r="BG803" s="11"/>
      <c r="BH803" s="11"/>
      <c r="BI803" s="11"/>
      <c r="BJ803" s="11"/>
      <c r="BK803" s="11"/>
    </row>
    <row r="804" ht="15.75" customHeight="1">
      <c r="X804" s="37"/>
      <c r="Y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BD804" s="11"/>
      <c r="BE804" s="11"/>
      <c r="BF804" s="11"/>
      <c r="BG804" s="11"/>
      <c r="BH804" s="11"/>
      <c r="BI804" s="11"/>
      <c r="BJ804" s="11"/>
      <c r="BK804" s="11"/>
    </row>
    <row r="805" ht="15.75" customHeight="1">
      <c r="X805" s="37"/>
      <c r="Y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BD805" s="11"/>
      <c r="BE805" s="11"/>
      <c r="BF805" s="11"/>
      <c r="BG805" s="11"/>
      <c r="BH805" s="11"/>
      <c r="BI805" s="11"/>
      <c r="BJ805" s="11"/>
      <c r="BK805" s="11"/>
    </row>
    <row r="806" ht="15.75" customHeight="1">
      <c r="X806" s="37"/>
      <c r="Y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BD806" s="11"/>
      <c r="BE806" s="11"/>
      <c r="BF806" s="11"/>
      <c r="BG806" s="11"/>
      <c r="BH806" s="11"/>
      <c r="BI806" s="11"/>
      <c r="BJ806" s="11"/>
      <c r="BK806" s="11"/>
    </row>
    <row r="807" ht="15.75" customHeight="1">
      <c r="X807" s="37"/>
      <c r="Y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BD807" s="11"/>
      <c r="BE807" s="11"/>
      <c r="BF807" s="11"/>
      <c r="BG807" s="11"/>
      <c r="BH807" s="11"/>
      <c r="BI807" s="11"/>
      <c r="BJ807" s="11"/>
      <c r="BK807" s="11"/>
    </row>
    <row r="808" ht="15.75" customHeight="1">
      <c r="X808" s="37"/>
      <c r="Y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BD808" s="11"/>
      <c r="BE808" s="11"/>
      <c r="BF808" s="11"/>
      <c r="BG808" s="11"/>
      <c r="BH808" s="11"/>
      <c r="BI808" s="11"/>
      <c r="BJ808" s="11"/>
      <c r="BK808" s="11"/>
    </row>
    <row r="809" ht="15.75" customHeight="1">
      <c r="X809" s="37"/>
      <c r="Y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BD809" s="11"/>
      <c r="BE809" s="11"/>
      <c r="BF809" s="11"/>
      <c r="BG809" s="11"/>
      <c r="BH809" s="11"/>
      <c r="BI809" s="11"/>
      <c r="BJ809" s="11"/>
      <c r="BK809" s="11"/>
    </row>
    <row r="810" ht="15.75" customHeight="1">
      <c r="X810" s="37"/>
      <c r="Y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BD810" s="11"/>
      <c r="BE810" s="11"/>
      <c r="BF810" s="11"/>
      <c r="BG810" s="11"/>
      <c r="BH810" s="11"/>
      <c r="BI810" s="11"/>
      <c r="BJ810" s="11"/>
      <c r="BK810" s="11"/>
    </row>
    <row r="811" ht="15.75" customHeight="1">
      <c r="X811" s="37"/>
      <c r="Y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BD811" s="11"/>
      <c r="BE811" s="11"/>
      <c r="BF811" s="11"/>
      <c r="BG811" s="11"/>
      <c r="BH811" s="11"/>
      <c r="BI811" s="11"/>
      <c r="BJ811" s="11"/>
      <c r="BK811" s="11"/>
    </row>
    <row r="812" ht="15.75" customHeight="1">
      <c r="X812" s="37"/>
      <c r="Y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BD812" s="11"/>
      <c r="BE812" s="11"/>
      <c r="BF812" s="11"/>
      <c r="BG812" s="11"/>
      <c r="BH812" s="11"/>
      <c r="BI812" s="11"/>
      <c r="BJ812" s="11"/>
      <c r="BK812" s="11"/>
    </row>
    <row r="813" ht="15.75" customHeight="1">
      <c r="X813" s="37"/>
      <c r="Y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BD813" s="11"/>
      <c r="BE813" s="11"/>
      <c r="BF813" s="11"/>
      <c r="BG813" s="11"/>
      <c r="BH813" s="11"/>
      <c r="BI813" s="11"/>
      <c r="BJ813" s="11"/>
      <c r="BK813" s="11"/>
    </row>
    <row r="814" ht="15.75" customHeight="1">
      <c r="X814" s="37"/>
      <c r="Y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BD814" s="11"/>
      <c r="BE814" s="11"/>
      <c r="BF814" s="11"/>
      <c r="BG814" s="11"/>
      <c r="BH814" s="11"/>
      <c r="BI814" s="11"/>
      <c r="BJ814" s="11"/>
      <c r="BK814" s="11"/>
    </row>
    <row r="815" ht="15.75" customHeight="1">
      <c r="X815" s="37"/>
      <c r="Y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BD815" s="11"/>
      <c r="BE815" s="11"/>
      <c r="BF815" s="11"/>
      <c r="BG815" s="11"/>
      <c r="BH815" s="11"/>
      <c r="BI815" s="11"/>
      <c r="BJ815" s="11"/>
      <c r="BK815" s="11"/>
    </row>
    <row r="816" ht="15.75" customHeight="1">
      <c r="X816" s="37"/>
      <c r="Y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BD816" s="11"/>
      <c r="BE816" s="11"/>
      <c r="BF816" s="11"/>
      <c r="BG816" s="11"/>
      <c r="BH816" s="11"/>
      <c r="BI816" s="11"/>
      <c r="BJ816" s="11"/>
      <c r="BK816" s="11"/>
    </row>
    <row r="817" ht="15.75" customHeight="1">
      <c r="X817" s="37"/>
      <c r="Y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BD817" s="11"/>
      <c r="BE817" s="11"/>
      <c r="BF817" s="11"/>
      <c r="BG817" s="11"/>
      <c r="BH817" s="11"/>
      <c r="BI817" s="11"/>
      <c r="BJ817" s="11"/>
      <c r="BK817" s="11"/>
    </row>
    <row r="818" ht="15.75" customHeight="1">
      <c r="X818" s="37"/>
      <c r="Y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BD818" s="11"/>
      <c r="BE818" s="11"/>
      <c r="BF818" s="11"/>
      <c r="BG818" s="11"/>
      <c r="BH818" s="11"/>
      <c r="BI818" s="11"/>
      <c r="BJ818" s="11"/>
      <c r="BK818" s="11"/>
    </row>
    <row r="819" ht="15.75" customHeight="1">
      <c r="X819" s="37"/>
      <c r="Y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BD819" s="11"/>
      <c r="BE819" s="11"/>
      <c r="BF819" s="11"/>
      <c r="BG819" s="11"/>
      <c r="BH819" s="11"/>
      <c r="BI819" s="11"/>
      <c r="BJ819" s="11"/>
      <c r="BK819" s="11"/>
    </row>
    <row r="820" ht="15.75" customHeight="1">
      <c r="X820" s="37"/>
      <c r="Y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BD820" s="11"/>
      <c r="BE820" s="11"/>
      <c r="BF820" s="11"/>
      <c r="BG820" s="11"/>
      <c r="BH820" s="11"/>
      <c r="BI820" s="11"/>
      <c r="BJ820" s="11"/>
      <c r="BK820" s="11"/>
    </row>
    <row r="821" ht="15.75" customHeight="1">
      <c r="X821" s="37"/>
      <c r="Y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BD821" s="11"/>
      <c r="BE821" s="11"/>
      <c r="BF821" s="11"/>
      <c r="BG821" s="11"/>
      <c r="BH821" s="11"/>
      <c r="BI821" s="11"/>
      <c r="BJ821" s="11"/>
      <c r="BK821" s="11"/>
    </row>
    <row r="822" ht="15.75" customHeight="1">
      <c r="X822" s="37"/>
      <c r="Y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BD822" s="11"/>
      <c r="BE822" s="11"/>
      <c r="BF822" s="11"/>
      <c r="BG822" s="11"/>
      <c r="BH822" s="11"/>
      <c r="BI822" s="11"/>
      <c r="BJ822" s="11"/>
      <c r="BK822" s="11"/>
    </row>
    <row r="823" ht="15.75" customHeight="1">
      <c r="X823" s="37"/>
      <c r="Y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BD823" s="11"/>
      <c r="BE823" s="11"/>
      <c r="BF823" s="11"/>
      <c r="BG823" s="11"/>
      <c r="BH823" s="11"/>
      <c r="BI823" s="11"/>
      <c r="BJ823" s="11"/>
      <c r="BK823" s="11"/>
    </row>
    <row r="824" ht="15.75" customHeight="1">
      <c r="X824" s="37"/>
      <c r="Y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BD824" s="11"/>
      <c r="BE824" s="11"/>
      <c r="BF824" s="11"/>
      <c r="BG824" s="11"/>
      <c r="BH824" s="11"/>
      <c r="BI824" s="11"/>
      <c r="BJ824" s="11"/>
      <c r="BK824" s="11"/>
    </row>
    <row r="825" ht="15.75" customHeight="1">
      <c r="X825" s="37"/>
      <c r="Y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BD825" s="11"/>
      <c r="BE825" s="11"/>
      <c r="BF825" s="11"/>
      <c r="BG825" s="11"/>
      <c r="BH825" s="11"/>
      <c r="BI825" s="11"/>
      <c r="BJ825" s="11"/>
      <c r="BK825" s="11"/>
    </row>
    <row r="826" ht="15.75" customHeight="1">
      <c r="X826" s="37"/>
      <c r="Y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BD826" s="11"/>
      <c r="BE826" s="11"/>
      <c r="BF826" s="11"/>
      <c r="BG826" s="11"/>
      <c r="BH826" s="11"/>
      <c r="BI826" s="11"/>
      <c r="BJ826" s="11"/>
      <c r="BK826" s="11"/>
    </row>
    <row r="827" ht="15.75" customHeight="1">
      <c r="X827" s="37"/>
      <c r="Y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BD827" s="11"/>
      <c r="BE827" s="11"/>
      <c r="BF827" s="11"/>
      <c r="BG827" s="11"/>
      <c r="BH827" s="11"/>
      <c r="BI827" s="11"/>
      <c r="BJ827" s="11"/>
      <c r="BK827" s="11"/>
    </row>
    <row r="828" ht="15.75" customHeight="1">
      <c r="X828" s="37"/>
      <c r="Y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BD828" s="11"/>
      <c r="BE828" s="11"/>
      <c r="BF828" s="11"/>
      <c r="BG828" s="11"/>
      <c r="BH828" s="11"/>
      <c r="BI828" s="11"/>
      <c r="BJ828" s="11"/>
      <c r="BK828" s="11"/>
    </row>
    <row r="829" ht="15.75" customHeight="1">
      <c r="X829" s="37"/>
      <c r="Y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BD829" s="11"/>
      <c r="BE829" s="11"/>
      <c r="BF829" s="11"/>
      <c r="BG829" s="11"/>
      <c r="BH829" s="11"/>
      <c r="BI829" s="11"/>
      <c r="BJ829" s="11"/>
      <c r="BK829" s="11"/>
    </row>
    <row r="830" ht="15.75" customHeight="1">
      <c r="X830" s="37"/>
      <c r="Y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BD830" s="11"/>
      <c r="BE830" s="11"/>
      <c r="BF830" s="11"/>
      <c r="BG830" s="11"/>
      <c r="BH830" s="11"/>
      <c r="BI830" s="11"/>
      <c r="BJ830" s="11"/>
      <c r="BK830" s="11"/>
    </row>
    <row r="831" ht="15.75" customHeight="1">
      <c r="X831" s="37"/>
      <c r="Y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BD831" s="11"/>
      <c r="BE831" s="11"/>
      <c r="BF831" s="11"/>
      <c r="BG831" s="11"/>
      <c r="BH831" s="11"/>
      <c r="BI831" s="11"/>
      <c r="BJ831" s="11"/>
      <c r="BK831" s="11"/>
    </row>
    <row r="832" ht="15.75" customHeight="1">
      <c r="X832" s="37"/>
      <c r="Y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BD832" s="11"/>
      <c r="BE832" s="11"/>
      <c r="BF832" s="11"/>
      <c r="BG832" s="11"/>
      <c r="BH832" s="11"/>
      <c r="BI832" s="11"/>
      <c r="BJ832" s="11"/>
      <c r="BK832" s="11"/>
    </row>
    <row r="833" ht="15.75" customHeight="1">
      <c r="X833" s="37"/>
      <c r="Y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BD833" s="11"/>
      <c r="BE833" s="11"/>
      <c r="BF833" s="11"/>
      <c r="BG833" s="11"/>
      <c r="BH833" s="11"/>
      <c r="BI833" s="11"/>
      <c r="BJ833" s="11"/>
      <c r="BK833" s="11"/>
    </row>
    <row r="834" ht="15.75" customHeight="1">
      <c r="X834" s="37"/>
      <c r="Y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BD834" s="11"/>
      <c r="BE834" s="11"/>
      <c r="BF834" s="11"/>
      <c r="BG834" s="11"/>
      <c r="BH834" s="11"/>
      <c r="BI834" s="11"/>
      <c r="BJ834" s="11"/>
      <c r="BK834" s="11"/>
    </row>
    <row r="835" ht="15.75" customHeight="1">
      <c r="X835" s="37"/>
      <c r="Y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BD835" s="11"/>
      <c r="BE835" s="11"/>
      <c r="BF835" s="11"/>
      <c r="BG835" s="11"/>
      <c r="BH835" s="11"/>
      <c r="BI835" s="11"/>
      <c r="BJ835" s="11"/>
      <c r="BK835" s="11"/>
    </row>
    <row r="836" ht="15.75" customHeight="1">
      <c r="X836" s="37"/>
      <c r="Y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BD836" s="11"/>
      <c r="BE836" s="11"/>
      <c r="BF836" s="11"/>
      <c r="BG836" s="11"/>
      <c r="BH836" s="11"/>
      <c r="BI836" s="11"/>
      <c r="BJ836" s="11"/>
      <c r="BK836" s="11"/>
    </row>
    <row r="837" ht="15.75" customHeight="1">
      <c r="X837" s="37"/>
      <c r="Y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BD837" s="11"/>
      <c r="BE837" s="11"/>
      <c r="BF837" s="11"/>
      <c r="BG837" s="11"/>
      <c r="BH837" s="11"/>
      <c r="BI837" s="11"/>
      <c r="BJ837" s="11"/>
      <c r="BK837" s="11"/>
    </row>
    <row r="838" ht="15.75" customHeight="1">
      <c r="X838" s="37"/>
      <c r="Y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BD838" s="11"/>
      <c r="BE838" s="11"/>
      <c r="BF838" s="11"/>
      <c r="BG838" s="11"/>
      <c r="BH838" s="11"/>
      <c r="BI838" s="11"/>
      <c r="BJ838" s="11"/>
      <c r="BK838" s="11"/>
    </row>
    <row r="839" ht="15.75" customHeight="1">
      <c r="X839" s="37"/>
      <c r="Y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BD839" s="11"/>
      <c r="BE839" s="11"/>
      <c r="BF839" s="11"/>
      <c r="BG839" s="11"/>
      <c r="BH839" s="11"/>
      <c r="BI839" s="11"/>
      <c r="BJ839" s="11"/>
      <c r="BK839" s="11"/>
    </row>
    <row r="840" ht="15.75" customHeight="1">
      <c r="X840" s="37"/>
      <c r="Y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BD840" s="11"/>
      <c r="BE840" s="11"/>
      <c r="BF840" s="11"/>
      <c r="BG840" s="11"/>
      <c r="BH840" s="11"/>
      <c r="BI840" s="11"/>
      <c r="BJ840" s="11"/>
      <c r="BK840" s="11"/>
    </row>
    <row r="841" ht="15.75" customHeight="1">
      <c r="X841" s="37"/>
      <c r="Y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BD841" s="11"/>
      <c r="BE841" s="11"/>
      <c r="BF841" s="11"/>
      <c r="BG841" s="11"/>
      <c r="BH841" s="11"/>
      <c r="BI841" s="11"/>
      <c r="BJ841" s="11"/>
      <c r="BK841" s="11"/>
    </row>
    <row r="842" ht="15.75" customHeight="1">
      <c r="X842" s="37"/>
      <c r="Y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BD842" s="11"/>
      <c r="BE842" s="11"/>
      <c r="BF842" s="11"/>
      <c r="BG842" s="11"/>
      <c r="BH842" s="11"/>
      <c r="BI842" s="11"/>
      <c r="BJ842" s="11"/>
      <c r="BK842" s="11"/>
    </row>
    <row r="843" ht="15.75" customHeight="1">
      <c r="X843" s="37"/>
      <c r="Y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BD843" s="11"/>
      <c r="BE843" s="11"/>
      <c r="BF843" s="11"/>
      <c r="BG843" s="11"/>
      <c r="BH843" s="11"/>
      <c r="BI843" s="11"/>
      <c r="BJ843" s="11"/>
      <c r="BK843" s="11"/>
    </row>
    <row r="844" ht="15.75" customHeight="1">
      <c r="X844" s="37"/>
      <c r="Y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BD844" s="11"/>
      <c r="BE844" s="11"/>
      <c r="BF844" s="11"/>
      <c r="BG844" s="11"/>
      <c r="BH844" s="11"/>
      <c r="BI844" s="11"/>
      <c r="BJ844" s="11"/>
      <c r="BK844" s="11"/>
    </row>
    <row r="845" ht="15.75" customHeight="1">
      <c r="X845" s="37"/>
      <c r="Y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BD845" s="11"/>
      <c r="BE845" s="11"/>
      <c r="BF845" s="11"/>
      <c r="BG845" s="11"/>
      <c r="BH845" s="11"/>
      <c r="BI845" s="11"/>
      <c r="BJ845" s="11"/>
      <c r="BK845" s="11"/>
    </row>
    <row r="846" ht="15.75" customHeight="1">
      <c r="X846" s="37"/>
      <c r="Y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BD846" s="11"/>
      <c r="BE846" s="11"/>
      <c r="BF846" s="11"/>
      <c r="BG846" s="11"/>
      <c r="BH846" s="11"/>
      <c r="BI846" s="11"/>
      <c r="BJ846" s="11"/>
      <c r="BK846" s="11"/>
    </row>
    <row r="847" ht="15.75" customHeight="1">
      <c r="X847" s="37"/>
      <c r="Y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BD847" s="11"/>
      <c r="BE847" s="11"/>
      <c r="BF847" s="11"/>
      <c r="BG847" s="11"/>
      <c r="BH847" s="11"/>
      <c r="BI847" s="11"/>
      <c r="BJ847" s="11"/>
      <c r="BK847" s="11"/>
    </row>
    <row r="848" ht="15.75" customHeight="1">
      <c r="X848" s="37"/>
      <c r="Y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BD848" s="11"/>
      <c r="BE848" s="11"/>
      <c r="BF848" s="11"/>
      <c r="BG848" s="11"/>
      <c r="BH848" s="11"/>
      <c r="BI848" s="11"/>
      <c r="BJ848" s="11"/>
      <c r="BK848" s="11"/>
    </row>
    <row r="849" ht="15.75" customHeight="1">
      <c r="X849" s="37"/>
      <c r="Y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BD849" s="11"/>
      <c r="BE849" s="11"/>
      <c r="BF849" s="11"/>
      <c r="BG849" s="11"/>
      <c r="BH849" s="11"/>
      <c r="BI849" s="11"/>
      <c r="BJ849" s="11"/>
      <c r="BK849" s="11"/>
    </row>
    <row r="850" ht="15.75" customHeight="1">
      <c r="X850" s="37"/>
      <c r="Y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BD850" s="11"/>
      <c r="BE850" s="11"/>
      <c r="BF850" s="11"/>
      <c r="BG850" s="11"/>
      <c r="BH850" s="11"/>
      <c r="BI850" s="11"/>
      <c r="BJ850" s="11"/>
      <c r="BK850" s="11"/>
    </row>
    <row r="851" ht="15.75" customHeight="1">
      <c r="X851" s="37"/>
      <c r="Y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BD851" s="11"/>
      <c r="BE851" s="11"/>
      <c r="BF851" s="11"/>
      <c r="BG851" s="11"/>
      <c r="BH851" s="11"/>
      <c r="BI851" s="11"/>
      <c r="BJ851" s="11"/>
      <c r="BK851" s="11"/>
    </row>
    <row r="852" ht="15.75" customHeight="1">
      <c r="X852" s="37"/>
      <c r="Y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BD852" s="11"/>
      <c r="BE852" s="11"/>
      <c r="BF852" s="11"/>
      <c r="BG852" s="11"/>
      <c r="BH852" s="11"/>
      <c r="BI852" s="11"/>
      <c r="BJ852" s="11"/>
      <c r="BK852" s="11"/>
    </row>
    <row r="853" ht="15.75" customHeight="1">
      <c r="X853" s="37"/>
      <c r="Y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BD853" s="11"/>
      <c r="BE853" s="11"/>
      <c r="BF853" s="11"/>
      <c r="BG853" s="11"/>
      <c r="BH853" s="11"/>
      <c r="BI853" s="11"/>
      <c r="BJ853" s="11"/>
      <c r="BK853" s="11"/>
    </row>
    <row r="854" ht="15.75" customHeight="1">
      <c r="X854" s="37"/>
      <c r="Y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BD854" s="11"/>
      <c r="BE854" s="11"/>
      <c r="BF854" s="11"/>
      <c r="BG854" s="11"/>
      <c r="BH854" s="11"/>
      <c r="BI854" s="11"/>
      <c r="BJ854" s="11"/>
      <c r="BK854" s="11"/>
    </row>
    <row r="855" ht="15.75" customHeight="1">
      <c r="X855" s="37"/>
      <c r="Y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BD855" s="11"/>
      <c r="BE855" s="11"/>
      <c r="BF855" s="11"/>
      <c r="BG855" s="11"/>
      <c r="BH855" s="11"/>
      <c r="BI855" s="11"/>
      <c r="BJ855" s="11"/>
      <c r="BK855" s="11"/>
    </row>
    <row r="856" ht="15.75" customHeight="1">
      <c r="X856" s="37"/>
      <c r="Y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BD856" s="11"/>
      <c r="BE856" s="11"/>
      <c r="BF856" s="11"/>
      <c r="BG856" s="11"/>
      <c r="BH856" s="11"/>
      <c r="BI856" s="11"/>
      <c r="BJ856" s="11"/>
      <c r="BK856" s="11"/>
    </row>
    <row r="857" ht="15.75" customHeight="1">
      <c r="X857" s="37"/>
      <c r="Y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BD857" s="11"/>
      <c r="BE857" s="11"/>
      <c r="BF857" s="11"/>
      <c r="BG857" s="11"/>
      <c r="BH857" s="11"/>
      <c r="BI857" s="11"/>
      <c r="BJ857" s="11"/>
      <c r="BK857" s="11"/>
    </row>
    <row r="858" ht="15.75" customHeight="1">
      <c r="X858" s="37"/>
      <c r="Y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BD858" s="11"/>
      <c r="BE858" s="11"/>
      <c r="BF858" s="11"/>
      <c r="BG858" s="11"/>
      <c r="BH858" s="11"/>
      <c r="BI858" s="11"/>
      <c r="BJ858" s="11"/>
      <c r="BK858" s="11"/>
    </row>
    <row r="859" ht="15.75" customHeight="1">
      <c r="X859" s="37"/>
      <c r="Y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BD859" s="11"/>
      <c r="BE859" s="11"/>
      <c r="BF859" s="11"/>
      <c r="BG859" s="11"/>
      <c r="BH859" s="11"/>
      <c r="BI859" s="11"/>
      <c r="BJ859" s="11"/>
      <c r="BK859" s="11"/>
    </row>
    <row r="860" ht="15.75" customHeight="1">
      <c r="X860" s="37"/>
      <c r="Y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BD860" s="11"/>
      <c r="BE860" s="11"/>
      <c r="BF860" s="11"/>
      <c r="BG860" s="11"/>
      <c r="BH860" s="11"/>
      <c r="BI860" s="11"/>
      <c r="BJ860" s="11"/>
      <c r="BK860" s="11"/>
    </row>
    <row r="861" ht="15.75" customHeight="1">
      <c r="X861" s="37"/>
      <c r="Y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BD861" s="11"/>
      <c r="BE861" s="11"/>
      <c r="BF861" s="11"/>
      <c r="BG861" s="11"/>
      <c r="BH861" s="11"/>
      <c r="BI861" s="11"/>
      <c r="BJ861" s="11"/>
      <c r="BK861" s="11"/>
    </row>
    <row r="862" ht="15.75" customHeight="1">
      <c r="X862" s="37"/>
      <c r="Y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BD862" s="11"/>
      <c r="BE862" s="11"/>
      <c r="BF862" s="11"/>
      <c r="BG862" s="11"/>
      <c r="BH862" s="11"/>
      <c r="BI862" s="11"/>
      <c r="BJ862" s="11"/>
      <c r="BK862" s="11"/>
    </row>
    <row r="863" ht="15.75" customHeight="1">
      <c r="X863" s="37"/>
      <c r="Y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BD863" s="11"/>
      <c r="BE863" s="11"/>
      <c r="BF863" s="11"/>
      <c r="BG863" s="11"/>
      <c r="BH863" s="11"/>
      <c r="BI863" s="11"/>
      <c r="BJ863" s="11"/>
      <c r="BK863" s="11"/>
    </row>
    <row r="864" ht="15.75" customHeight="1">
      <c r="X864" s="37"/>
      <c r="Y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BD864" s="11"/>
      <c r="BE864" s="11"/>
      <c r="BF864" s="11"/>
      <c r="BG864" s="11"/>
      <c r="BH864" s="11"/>
      <c r="BI864" s="11"/>
      <c r="BJ864" s="11"/>
      <c r="BK864" s="11"/>
    </row>
    <row r="865" ht="15.75" customHeight="1">
      <c r="X865" s="37"/>
      <c r="Y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BD865" s="11"/>
      <c r="BE865" s="11"/>
      <c r="BF865" s="11"/>
      <c r="BG865" s="11"/>
      <c r="BH865" s="11"/>
      <c r="BI865" s="11"/>
      <c r="BJ865" s="11"/>
      <c r="BK865" s="11"/>
    </row>
    <row r="866" ht="15.75" customHeight="1">
      <c r="X866" s="37"/>
      <c r="Y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BD866" s="11"/>
      <c r="BE866" s="11"/>
      <c r="BF866" s="11"/>
      <c r="BG866" s="11"/>
      <c r="BH866" s="11"/>
      <c r="BI866" s="11"/>
      <c r="BJ866" s="11"/>
      <c r="BK866" s="11"/>
    </row>
    <row r="867" ht="15.75" customHeight="1">
      <c r="X867" s="37"/>
      <c r="Y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BD867" s="11"/>
      <c r="BE867" s="11"/>
      <c r="BF867" s="11"/>
      <c r="BG867" s="11"/>
      <c r="BH867" s="11"/>
      <c r="BI867" s="11"/>
      <c r="BJ867" s="11"/>
      <c r="BK867" s="11"/>
    </row>
    <row r="868" ht="15.75" customHeight="1">
      <c r="X868" s="37"/>
      <c r="Y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BD868" s="11"/>
      <c r="BE868" s="11"/>
      <c r="BF868" s="11"/>
      <c r="BG868" s="11"/>
      <c r="BH868" s="11"/>
      <c r="BI868" s="11"/>
      <c r="BJ868" s="11"/>
      <c r="BK868" s="11"/>
    </row>
    <row r="869" ht="15.75" customHeight="1">
      <c r="X869" s="37"/>
      <c r="Y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BD869" s="11"/>
      <c r="BE869" s="11"/>
      <c r="BF869" s="11"/>
      <c r="BG869" s="11"/>
      <c r="BH869" s="11"/>
      <c r="BI869" s="11"/>
      <c r="BJ869" s="11"/>
      <c r="BK869" s="11"/>
    </row>
    <row r="870" ht="15.75" customHeight="1">
      <c r="X870" s="37"/>
      <c r="Y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BD870" s="11"/>
      <c r="BE870" s="11"/>
      <c r="BF870" s="11"/>
      <c r="BG870" s="11"/>
      <c r="BH870" s="11"/>
      <c r="BI870" s="11"/>
      <c r="BJ870" s="11"/>
      <c r="BK870" s="11"/>
    </row>
    <row r="871" ht="15.75" customHeight="1">
      <c r="X871" s="37"/>
      <c r="Y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BD871" s="11"/>
      <c r="BE871" s="11"/>
      <c r="BF871" s="11"/>
      <c r="BG871" s="11"/>
      <c r="BH871" s="11"/>
      <c r="BI871" s="11"/>
      <c r="BJ871" s="11"/>
      <c r="BK871" s="11"/>
    </row>
    <row r="872" ht="15.75" customHeight="1">
      <c r="X872" s="37"/>
      <c r="Y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BD872" s="11"/>
      <c r="BE872" s="11"/>
      <c r="BF872" s="11"/>
      <c r="BG872" s="11"/>
      <c r="BH872" s="11"/>
      <c r="BI872" s="11"/>
      <c r="BJ872" s="11"/>
      <c r="BK872" s="11"/>
    </row>
    <row r="873" ht="15.75" customHeight="1">
      <c r="X873" s="37"/>
      <c r="Y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BD873" s="11"/>
      <c r="BE873" s="11"/>
      <c r="BF873" s="11"/>
      <c r="BG873" s="11"/>
      <c r="BH873" s="11"/>
      <c r="BI873" s="11"/>
      <c r="BJ873" s="11"/>
      <c r="BK873" s="11"/>
    </row>
    <row r="874" ht="15.75" customHeight="1">
      <c r="X874" s="37"/>
      <c r="Y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BD874" s="11"/>
      <c r="BE874" s="11"/>
      <c r="BF874" s="11"/>
      <c r="BG874" s="11"/>
      <c r="BH874" s="11"/>
      <c r="BI874" s="11"/>
      <c r="BJ874" s="11"/>
      <c r="BK874" s="11"/>
    </row>
    <row r="875" ht="15.75" customHeight="1">
      <c r="X875" s="37"/>
      <c r="Y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BD875" s="11"/>
      <c r="BE875" s="11"/>
      <c r="BF875" s="11"/>
      <c r="BG875" s="11"/>
      <c r="BH875" s="11"/>
      <c r="BI875" s="11"/>
      <c r="BJ875" s="11"/>
      <c r="BK875" s="11"/>
    </row>
    <row r="876" ht="15.75" customHeight="1">
      <c r="X876" s="37"/>
      <c r="Y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BD876" s="11"/>
      <c r="BE876" s="11"/>
      <c r="BF876" s="11"/>
      <c r="BG876" s="11"/>
      <c r="BH876" s="11"/>
      <c r="BI876" s="11"/>
      <c r="BJ876" s="11"/>
      <c r="BK876" s="11"/>
    </row>
    <row r="877" ht="15.75" customHeight="1">
      <c r="X877" s="37"/>
      <c r="Y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BD877" s="11"/>
      <c r="BE877" s="11"/>
      <c r="BF877" s="11"/>
      <c r="BG877" s="11"/>
      <c r="BH877" s="11"/>
      <c r="BI877" s="11"/>
      <c r="BJ877" s="11"/>
      <c r="BK877" s="11"/>
    </row>
    <row r="878" ht="15.75" customHeight="1">
      <c r="X878" s="37"/>
      <c r="Y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BD878" s="11"/>
      <c r="BE878" s="11"/>
      <c r="BF878" s="11"/>
      <c r="BG878" s="11"/>
      <c r="BH878" s="11"/>
      <c r="BI878" s="11"/>
      <c r="BJ878" s="11"/>
      <c r="BK878" s="11"/>
    </row>
    <row r="879" ht="15.75" customHeight="1">
      <c r="X879" s="37"/>
      <c r="Y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BD879" s="11"/>
      <c r="BE879" s="11"/>
      <c r="BF879" s="11"/>
      <c r="BG879" s="11"/>
      <c r="BH879" s="11"/>
      <c r="BI879" s="11"/>
      <c r="BJ879" s="11"/>
      <c r="BK879" s="11"/>
    </row>
    <row r="880" ht="15.75" customHeight="1">
      <c r="X880" s="37"/>
      <c r="Y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BD880" s="11"/>
      <c r="BE880" s="11"/>
      <c r="BF880" s="11"/>
      <c r="BG880" s="11"/>
      <c r="BH880" s="11"/>
      <c r="BI880" s="11"/>
      <c r="BJ880" s="11"/>
      <c r="BK880" s="11"/>
    </row>
    <row r="881" ht="15.75" customHeight="1">
      <c r="X881" s="37"/>
      <c r="Y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BD881" s="11"/>
      <c r="BE881" s="11"/>
      <c r="BF881" s="11"/>
      <c r="BG881" s="11"/>
      <c r="BH881" s="11"/>
      <c r="BI881" s="11"/>
      <c r="BJ881" s="11"/>
      <c r="BK881" s="11"/>
    </row>
    <row r="882" ht="15.75" customHeight="1">
      <c r="X882" s="37"/>
      <c r="Y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BD882" s="11"/>
      <c r="BE882" s="11"/>
      <c r="BF882" s="11"/>
      <c r="BG882" s="11"/>
      <c r="BH882" s="11"/>
      <c r="BI882" s="11"/>
      <c r="BJ882" s="11"/>
      <c r="BK882" s="11"/>
    </row>
    <row r="883" ht="15.75" customHeight="1">
      <c r="X883" s="37"/>
      <c r="Y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BD883" s="11"/>
      <c r="BE883" s="11"/>
      <c r="BF883" s="11"/>
      <c r="BG883" s="11"/>
      <c r="BH883" s="11"/>
      <c r="BI883" s="11"/>
      <c r="BJ883" s="11"/>
      <c r="BK883" s="11"/>
    </row>
    <row r="884" ht="15.75" customHeight="1">
      <c r="X884" s="37"/>
      <c r="Y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BD884" s="11"/>
      <c r="BE884" s="11"/>
      <c r="BF884" s="11"/>
      <c r="BG884" s="11"/>
      <c r="BH884" s="11"/>
      <c r="BI884" s="11"/>
      <c r="BJ884" s="11"/>
      <c r="BK884" s="11"/>
    </row>
    <row r="885" ht="15.75" customHeight="1">
      <c r="X885" s="37"/>
      <c r="Y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BD885" s="11"/>
      <c r="BE885" s="11"/>
      <c r="BF885" s="11"/>
      <c r="BG885" s="11"/>
      <c r="BH885" s="11"/>
      <c r="BI885" s="11"/>
      <c r="BJ885" s="11"/>
      <c r="BK885" s="11"/>
    </row>
    <row r="886" ht="15.75" customHeight="1">
      <c r="X886" s="37"/>
      <c r="Y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BD886" s="11"/>
      <c r="BE886" s="11"/>
      <c r="BF886" s="11"/>
      <c r="BG886" s="11"/>
      <c r="BH886" s="11"/>
      <c r="BI886" s="11"/>
      <c r="BJ886" s="11"/>
      <c r="BK886" s="11"/>
    </row>
    <row r="887" ht="15.75" customHeight="1">
      <c r="X887" s="37"/>
      <c r="Y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BD887" s="11"/>
      <c r="BE887" s="11"/>
      <c r="BF887" s="11"/>
      <c r="BG887" s="11"/>
      <c r="BH887" s="11"/>
      <c r="BI887" s="11"/>
      <c r="BJ887" s="11"/>
      <c r="BK887" s="11"/>
    </row>
    <row r="888" ht="15.75" customHeight="1">
      <c r="X888" s="37"/>
      <c r="Y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BD888" s="11"/>
      <c r="BE888" s="11"/>
      <c r="BF888" s="11"/>
      <c r="BG888" s="11"/>
      <c r="BH888" s="11"/>
      <c r="BI888" s="11"/>
      <c r="BJ888" s="11"/>
      <c r="BK888" s="11"/>
    </row>
    <row r="889" ht="15.75" customHeight="1">
      <c r="X889" s="37"/>
      <c r="Y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BD889" s="11"/>
      <c r="BE889" s="11"/>
      <c r="BF889" s="11"/>
      <c r="BG889" s="11"/>
      <c r="BH889" s="11"/>
      <c r="BI889" s="11"/>
      <c r="BJ889" s="11"/>
      <c r="BK889" s="11"/>
    </row>
    <row r="890" ht="15.75" customHeight="1">
      <c r="X890" s="37"/>
      <c r="Y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BD890" s="11"/>
      <c r="BE890" s="11"/>
      <c r="BF890" s="11"/>
      <c r="BG890" s="11"/>
      <c r="BH890" s="11"/>
      <c r="BI890" s="11"/>
      <c r="BJ890" s="11"/>
      <c r="BK890" s="11"/>
    </row>
    <row r="891" ht="15.75" customHeight="1">
      <c r="X891" s="37"/>
      <c r="Y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BD891" s="11"/>
      <c r="BE891" s="11"/>
      <c r="BF891" s="11"/>
      <c r="BG891" s="11"/>
      <c r="BH891" s="11"/>
      <c r="BI891" s="11"/>
      <c r="BJ891" s="11"/>
      <c r="BK891" s="11"/>
    </row>
    <row r="892" ht="15.75" customHeight="1">
      <c r="X892" s="37"/>
      <c r="Y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BD892" s="11"/>
      <c r="BE892" s="11"/>
      <c r="BF892" s="11"/>
      <c r="BG892" s="11"/>
      <c r="BH892" s="11"/>
      <c r="BI892" s="11"/>
      <c r="BJ892" s="11"/>
      <c r="BK892" s="11"/>
    </row>
    <row r="893" ht="15.75" customHeight="1">
      <c r="X893" s="37"/>
      <c r="Y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BD893" s="11"/>
      <c r="BE893" s="11"/>
      <c r="BF893" s="11"/>
      <c r="BG893" s="11"/>
      <c r="BH893" s="11"/>
      <c r="BI893" s="11"/>
      <c r="BJ893" s="11"/>
      <c r="BK893" s="11"/>
    </row>
    <row r="894" ht="15.75" customHeight="1">
      <c r="X894" s="37"/>
      <c r="Y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BD894" s="11"/>
      <c r="BE894" s="11"/>
      <c r="BF894" s="11"/>
      <c r="BG894" s="11"/>
      <c r="BH894" s="11"/>
      <c r="BI894" s="11"/>
      <c r="BJ894" s="11"/>
      <c r="BK894" s="11"/>
    </row>
    <row r="895" ht="15.75" customHeight="1">
      <c r="X895" s="37"/>
      <c r="Y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BD895" s="11"/>
      <c r="BE895" s="11"/>
      <c r="BF895" s="11"/>
      <c r="BG895" s="11"/>
      <c r="BH895" s="11"/>
      <c r="BI895" s="11"/>
      <c r="BJ895" s="11"/>
      <c r="BK895" s="11"/>
    </row>
    <row r="896" ht="15.75" customHeight="1">
      <c r="X896" s="37"/>
      <c r="Y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BD896" s="11"/>
      <c r="BE896" s="11"/>
      <c r="BF896" s="11"/>
      <c r="BG896" s="11"/>
      <c r="BH896" s="11"/>
      <c r="BI896" s="11"/>
      <c r="BJ896" s="11"/>
      <c r="BK896" s="11"/>
    </row>
    <row r="897" ht="15.75" customHeight="1">
      <c r="X897" s="37"/>
      <c r="Y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BD897" s="11"/>
      <c r="BE897" s="11"/>
      <c r="BF897" s="11"/>
      <c r="BG897" s="11"/>
      <c r="BH897" s="11"/>
      <c r="BI897" s="11"/>
      <c r="BJ897" s="11"/>
      <c r="BK897" s="11"/>
    </row>
    <row r="898" ht="15.75" customHeight="1">
      <c r="X898" s="37"/>
      <c r="Y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BD898" s="11"/>
      <c r="BE898" s="11"/>
      <c r="BF898" s="11"/>
      <c r="BG898" s="11"/>
      <c r="BH898" s="11"/>
      <c r="BI898" s="11"/>
      <c r="BJ898" s="11"/>
      <c r="BK898" s="11"/>
    </row>
    <row r="899" ht="15.75" customHeight="1">
      <c r="X899" s="37"/>
      <c r="Y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BD899" s="11"/>
      <c r="BE899" s="11"/>
      <c r="BF899" s="11"/>
      <c r="BG899" s="11"/>
      <c r="BH899" s="11"/>
      <c r="BI899" s="11"/>
      <c r="BJ899" s="11"/>
      <c r="BK899" s="11"/>
    </row>
    <row r="900" ht="15.75" customHeight="1">
      <c r="X900" s="37"/>
      <c r="Y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BD900" s="11"/>
      <c r="BE900" s="11"/>
      <c r="BF900" s="11"/>
      <c r="BG900" s="11"/>
      <c r="BH900" s="11"/>
      <c r="BI900" s="11"/>
      <c r="BJ900" s="11"/>
      <c r="BK900" s="11"/>
    </row>
    <row r="901" ht="15.75" customHeight="1">
      <c r="X901" s="37"/>
      <c r="Y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BD901" s="11"/>
      <c r="BE901" s="11"/>
      <c r="BF901" s="11"/>
      <c r="BG901" s="11"/>
      <c r="BH901" s="11"/>
      <c r="BI901" s="11"/>
      <c r="BJ901" s="11"/>
      <c r="BK901" s="11"/>
    </row>
    <row r="902" ht="15.75" customHeight="1">
      <c r="X902" s="37"/>
      <c r="Y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BD902" s="11"/>
      <c r="BE902" s="11"/>
      <c r="BF902" s="11"/>
      <c r="BG902" s="11"/>
      <c r="BH902" s="11"/>
      <c r="BI902" s="11"/>
      <c r="BJ902" s="11"/>
      <c r="BK902" s="11"/>
    </row>
    <row r="903" ht="15.75" customHeight="1">
      <c r="X903" s="37"/>
      <c r="Y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BD903" s="11"/>
      <c r="BE903" s="11"/>
      <c r="BF903" s="11"/>
      <c r="BG903" s="11"/>
      <c r="BH903" s="11"/>
      <c r="BI903" s="11"/>
      <c r="BJ903" s="11"/>
      <c r="BK903" s="11"/>
    </row>
    <row r="904" ht="15.75" customHeight="1">
      <c r="X904" s="37"/>
      <c r="Y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BD904" s="11"/>
      <c r="BE904" s="11"/>
      <c r="BF904" s="11"/>
      <c r="BG904" s="11"/>
      <c r="BH904" s="11"/>
      <c r="BI904" s="11"/>
      <c r="BJ904" s="11"/>
      <c r="BK904" s="11"/>
    </row>
    <row r="905" ht="15.75" customHeight="1">
      <c r="X905" s="37"/>
      <c r="Y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BD905" s="11"/>
      <c r="BE905" s="11"/>
      <c r="BF905" s="11"/>
      <c r="BG905" s="11"/>
      <c r="BH905" s="11"/>
      <c r="BI905" s="11"/>
      <c r="BJ905" s="11"/>
      <c r="BK905" s="11"/>
    </row>
    <row r="906" ht="15.75" customHeight="1">
      <c r="X906" s="37"/>
      <c r="Y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BD906" s="11"/>
      <c r="BE906" s="11"/>
      <c r="BF906" s="11"/>
      <c r="BG906" s="11"/>
      <c r="BH906" s="11"/>
      <c r="BI906" s="11"/>
      <c r="BJ906" s="11"/>
      <c r="BK906" s="11"/>
    </row>
    <row r="907" ht="15.75" customHeight="1">
      <c r="X907" s="37"/>
      <c r="Y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BD907" s="11"/>
      <c r="BE907" s="11"/>
      <c r="BF907" s="11"/>
      <c r="BG907" s="11"/>
      <c r="BH907" s="11"/>
      <c r="BI907" s="11"/>
      <c r="BJ907" s="11"/>
      <c r="BK907" s="11"/>
    </row>
    <row r="908" ht="15.75" customHeight="1">
      <c r="X908" s="37"/>
      <c r="Y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BD908" s="11"/>
      <c r="BE908" s="11"/>
      <c r="BF908" s="11"/>
      <c r="BG908" s="11"/>
      <c r="BH908" s="11"/>
      <c r="BI908" s="11"/>
      <c r="BJ908" s="11"/>
      <c r="BK908" s="11"/>
    </row>
    <row r="909" ht="15.75" customHeight="1">
      <c r="X909" s="37"/>
      <c r="Y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BD909" s="11"/>
      <c r="BE909" s="11"/>
      <c r="BF909" s="11"/>
      <c r="BG909" s="11"/>
      <c r="BH909" s="11"/>
      <c r="BI909" s="11"/>
      <c r="BJ909" s="11"/>
      <c r="BK909" s="11"/>
    </row>
    <row r="910" ht="15.75" customHeight="1">
      <c r="X910" s="37"/>
      <c r="Y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BD910" s="11"/>
      <c r="BE910" s="11"/>
      <c r="BF910" s="11"/>
      <c r="BG910" s="11"/>
      <c r="BH910" s="11"/>
      <c r="BI910" s="11"/>
      <c r="BJ910" s="11"/>
      <c r="BK910" s="11"/>
    </row>
    <row r="911" ht="15.75" customHeight="1">
      <c r="X911" s="37"/>
      <c r="Y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BD911" s="11"/>
      <c r="BE911" s="11"/>
      <c r="BF911" s="11"/>
      <c r="BG911" s="11"/>
      <c r="BH911" s="11"/>
      <c r="BI911" s="11"/>
      <c r="BJ911" s="11"/>
      <c r="BK911" s="11"/>
    </row>
    <row r="912" ht="15.75" customHeight="1">
      <c r="X912" s="37"/>
      <c r="Y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BD912" s="11"/>
      <c r="BE912" s="11"/>
      <c r="BF912" s="11"/>
      <c r="BG912" s="11"/>
      <c r="BH912" s="11"/>
      <c r="BI912" s="11"/>
      <c r="BJ912" s="11"/>
      <c r="BK912" s="11"/>
    </row>
    <row r="913" ht="15.75" customHeight="1">
      <c r="X913" s="37"/>
      <c r="Y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BD913" s="11"/>
      <c r="BE913" s="11"/>
      <c r="BF913" s="11"/>
      <c r="BG913" s="11"/>
      <c r="BH913" s="11"/>
      <c r="BI913" s="11"/>
      <c r="BJ913" s="11"/>
      <c r="BK913" s="11"/>
    </row>
    <row r="914" ht="15.75" customHeight="1">
      <c r="X914" s="37"/>
      <c r="Y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BD914" s="11"/>
      <c r="BE914" s="11"/>
      <c r="BF914" s="11"/>
      <c r="BG914" s="11"/>
      <c r="BH914" s="11"/>
      <c r="BI914" s="11"/>
      <c r="BJ914" s="11"/>
      <c r="BK914" s="11"/>
    </row>
    <row r="915" ht="15.75" customHeight="1">
      <c r="X915" s="37"/>
      <c r="Y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BD915" s="11"/>
      <c r="BE915" s="11"/>
      <c r="BF915" s="11"/>
      <c r="BG915" s="11"/>
      <c r="BH915" s="11"/>
      <c r="BI915" s="11"/>
      <c r="BJ915" s="11"/>
      <c r="BK915" s="11"/>
    </row>
    <row r="916" ht="15.75" customHeight="1">
      <c r="X916" s="37"/>
      <c r="Y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BD916" s="11"/>
      <c r="BE916" s="11"/>
      <c r="BF916" s="11"/>
      <c r="BG916" s="11"/>
      <c r="BH916" s="11"/>
      <c r="BI916" s="11"/>
      <c r="BJ916" s="11"/>
      <c r="BK916" s="11"/>
    </row>
    <row r="917" ht="15.75" customHeight="1">
      <c r="X917" s="37"/>
      <c r="Y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BD917" s="11"/>
      <c r="BE917" s="11"/>
      <c r="BF917" s="11"/>
      <c r="BG917" s="11"/>
      <c r="BH917" s="11"/>
      <c r="BI917" s="11"/>
      <c r="BJ917" s="11"/>
      <c r="BK917" s="11"/>
    </row>
    <row r="918" ht="15.75" customHeight="1">
      <c r="X918" s="37"/>
      <c r="Y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BD918" s="11"/>
      <c r="BE918" s="11"/>
      <c r="BF918" s="11"/>
      <c r="BG918" s="11"/>
      <c r="BH918" s="11"/>
      <c r="BI918" s="11"/>
      <c r="BJ918" s="11"/>
      <c r="BK918" s="11"/>
    </row>
    <row r="919" ht="15.75" customHeight="1">
      <c r="X919" s="37"/>
      <c r="Y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BD919" s="11"/>
      <c r="BE919" s="11"/>
      <c r="BF919" s="11"/>
      <c r="BG919" s="11"/>
      <c r="BH919" s="11"/>
      <c r="BI919" s="11"/>
      <c r="BJ919" s="11"/>
      <c r="BK919" s="11"/>
    </row>
    <row r="920" ht="15.75" customHeight="1">
      <c r="X920" s="37"/>
      <c r="Y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BD920" s="11"/>
      <c r="BE920" s="11"/>
      <c r="BF920" s="11"/>
      <c r="BG920" s="11"/>
      <c r="BH920" s="11"/>
      <c r="BI920" s="11"/>
      <c r="BJ920" s="11"/>
      <c r="BK920" s="11"/>
    </row>
    <row r="921" ht="15.75" customHeight="1">
      <c r="X921" s="37"/>
      <c r="Y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BD921" s="11"/>
      <c r="BE921" s="11"/>
      <c r="BF921" s="11"/>
      <c r="BG921" s="11"/>
      <c r="BH921" s="11"/>
      <c r="BI921" s="11"/>
      <c r="BJ921" s="11"/>
      <c r="BK921" s="11"/>
    </row>
    <row r="922" ht="15.75" customHeight="1">
      <c r="X922" s="37"/>
      <c r="Y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BD922" s="11"/>
      <c r="BE922" s="11"/>
      <c r="BF922" s="11"/>
      <c r="BG922" s="11"/>
      <c r="BH922" s="11"/>
      <c r="BI922" s="11"/>
      <c r="BJ922" s="11"/>
      <c r="BK922" s="11"/>
    </row>
    <row r="923" ht="15.75" customHeight="1">
      <c r="X923" s="37"/>
      <c r="Y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BD923" s="11"/>
      <c r="BE923" s="11"/>
      <c r="BF923" s="11"/>
      <c r="BG923" s="11"/>
      <c r="BH923" s="11"/>
      <c r="BI923" s="11"/>
      <c r="BJ923" s="11"/>
      <c r="BK923" s="11"/>
    </row>
    <row r="924" ht="15.75" customHeight="1">
      <c r="X924" s="37"/>
      <c r="Y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BD924" s="11"/>
      <c r="BE924" s="11"/>
      <c r="BF924" s="11"/>
      <c r="BG924" s="11"/>
      <c r="BH924" s="11"/>
      <c r="BI924" s="11"/>
      <c r="BJ924" s="11"/>
      <c r="BK924" s="11"/>
    </row>
    <row r="925" ht="15.75" customHeight="1">
      <c r="X925" s="37"/>
      <c r="Y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BD925" s="11"/>
      <c r="BE925" s="11"/>
      <c r="BF925" s="11"/>
      <c r="BG925" s="11"/>
      <c r="BH925" s="11"/>
      <c r="BI925" s="11"/>
      <c r="BJ925" s="11"/>
      <c r="BK925" s="11"/>
    </row>
    <row r="926" ht="15.75" customHeight="1">
      <c r="X926" s="37"/>
      <c r="Y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BD926" s="11"/>
      <c r="BE926" s="11"/>
      <c r="BF926" s="11"/>
      <c r="BG926" s="11"/>
      <c r="BH926" s="11"/>
      <c r="BI926" s="11"/>
      <c r="BJ926" s="11"/>
      <c r="BK926" s="11"/>
    </row>
    <row r="927" ht="15.75" customHeight="1">
      <c r="X927" s="37"/>
      <c r="Y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BD927" s="11"/>
      <c r="BE927" s="11"/>
      <c r="BF927" s="11"/>
      <c r="BG927" s="11"/>
      <c r="BH927" s="11"/>
      <c r="BI927" s="11"/>
      <c r="BJ927" s="11"/>
      <c r="BK927" s="11"/>
    </row>
    <row r="928" ht="15.75" customHeight="1">
      <c r="X928" s="37"/>
      <c r="Y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BD928" s="11"/>
      <c r="BE928" s="11"/>
      <c r="BF928" s="11"/>
      <c r="BG928" s="11"/>
      <c r="BH928" s="11"/>
      <c r="BI928" s="11"/>
      <c r="BJ928" s="11"/>
      <c r="BK928" s="11"/>
    </row>
    <row r="929" ht="15.75" customHeight="1">
      <c r="X929" s="37"/>
      <c r="Y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BD929" s="11"/>
      <c r="BE929" s="11"/>
      <c r="BF929" s="11"/>
      <c r="BG929" s="11"/>
      <c r="BH929" s="11"/>
      <c r="BI929" s="11"/>
      <c r="BJ929" s="11"/>
      <c r="BK929" s="11"/>
    </row>
    <row r="930" ht="15.75" customHeight="1">
      <c r="X930" s="37"/>
      <c r="Y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BD930" s="11"/>
      <c r="BE930" s="11"/>
      <c r="BF930" s="11"/>
      <c r="BG930" s="11"/>
      <c r="BH930" s="11"/>
      <c r="BI930" s="11"/>
      <c r="BJ930" s="11"/>
      <c r="BK930" s="11"/>
    </row>
    <row r="931" ht="15.75" customHeight="1">
      <c r="X931" s="37"/>
      <c r="Y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BD931" s="11"/>
      <c r="BE931" s="11"/>
      <c r="BF931" s="11"/>
      <c r="BG931" s="11"/>
      <c r="BH931" s="11"/>
      <c r="BI931" s="11"/>
      <c r="BJ931" s="11"/>
      <c r="BK931" s="11"/>
    </row>
    <row r="932" ht="15.75" customHeight="1">
      <c r="X932" s="37"/>
      <c r="Y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BD932" s="11"/>
      <c r="BE932" s="11"/>
      <c r="BF932" s="11"/>
      <c r="BG932" s="11"/>
      <c r="BH932" s="11"/>
      <c r="BI932" s="11"/>
      <c r="BJ932" s="11"/>
      <c r="BK932" s="11"/>
    </row>
    <row r="933" ht="15.75" customHeight="1">
      <c r="X933" s="37"/>
      <c r="Y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BD933" s="11"/>
      <c r="BE933" s="11"/>
      <c r="BF933" s="11"/>
      <c r="BG933" s="11"/>
      <c r="BH933" s="11"/>
      <c r="BI933" s="11"/>
      <c r="BJ933" s="11"/>
      <c r="BK933" s="11"/>
    </row>
    <row r="934" ht="15.75" customHeight="1">
      <c r="X934" s="37"/>
      <c r="Y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BD934" s="11"/>
      <c r="BE934" s="11"/>
      <c r="BF934" s="11"/>
      <c r="BG934" s="11"/>
      <c r="BH934" s="11"/>
      <c r="BI934" s="11"/>
      <c r="BJ934" s="11"/>
      <c r="BK934" s="11"/>
    </row>
    <row r="935" ht="15.75" customHeight="1">
      <c r="X935" s="37"/>
      <c r="Y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BD935" s="11"/>
      <c r="BE935" s="11"/>
      <c r="BF935" s="11"/>
      <c r="BG935" s="11"/>
      <c r="BH935" s="11"/>
      <c r="BI935" s="11"/>
      <c r="BJ935" s="11"/>
      <c r="BK935" s="11"/>
    </row>
    <row r="936" ht="15.75" customHeight="1">
      <c r="X936" s="37"/>
      <c r="Y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BD936" s="11"/>
      <c r="BE936" s="11"/>
      <c r="BF936" s="11"/>
      <c r="BG936" s="11"/>
      <c r="BH936" s="11"/>
      <c r="BI936" s="11"/>
      <c r="BJ936" s="11"/>
      <c r="BK936" s="11"/>
    </row>
    <row r="937" ht="15.75" customHeight="1">
      <c r="X937" s="37"/>
      <c r="Y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BD937" s="11"/>
      <c r="BE937" s="11"/>
      <c r="BF937" s="11"/>
      <c r="BG937" s="11"/>
      <c r="BH937" s="11"/>
      <c r="BI937" s="11"/>
      <c r="BJ937" s="11"/>
      <c r="BK937" s="11"/>
    </row>
    <row r="938" ht="15.75" customHeight="1">
      <c r="X938" s="37"/>
      <c r="Y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BD938" s="11"/>
      <c r="BE938" s="11"/>
      <c r="BF938" s="11"/>
      <c r="BG938" s="11"/>
      <c r="BH938" s="11"/>
      <c r="BI938" s="11"/>
      <c r="BJ938" s="11"/>
      <c r="BK938" s="11"/>
    </row>
    <row r="939" ht="15.75" customHeight="1">
      <c r="X939" s="37"/>
      <c r="Y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BD939" s="11"/>
      <c r="BE939" s="11"/>
      <c r="BF939" s="11"/>
      <c r="BG939" s="11"/>
      <c r="BH939" s="11"/>
      <c r="BI939" s="11"/>
      <c r="BJ939" s="11"/>
      <c r="BK939" s="11"/>
    </row>
    <row r="940" ht="15.75" customHeight="1">
      <c r="X940" s="37"/>
      <c r="Y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BD940" s="11"/>
      <c r="BE940" s="11"/>
      <c r="BF940" s="11"/>
      <c r="BG940" s="11"/>
      <c r="BH940" s="11"/>
      <c r="BI940" s="11"/>
      <c r="BJ940" s="11"/>
      <c r="BK940" s="11"/>
    </row>
    <row r="941" ht="15.75" customHeight="1">
      <c r="X941" s="37"/>
      <c r="Y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BD941" s="11"/>
      <c r="BE941" s="11"/>
      <c r="BF941" s="11"/>
      <c r="BG941" s="11"/>
      <c r="BH941" s="11"/>
      <c r="BI941" s="11"/>
      <c r="BJ941" s="11"/>
      <c r="BK941" s="11"/>
    </row>
    <row r="942" ht="15.75" customHeight="1">
      <c r="X942" s="37"/>
      <c r="Y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BD942" s="11"/>
      <c r="BE942" s="11"/>
      <c r="BF942" s="11"/>
      <c r="BG942" s="11"/>
      <c r="BH942" s="11"/>
      <c r="BI942" s="11"/>
      <c r="BJ942" s="11"/>
      <c r="BK942" s="11"/>
    </row>
    <row r="943" ht="15.75" customHeight="1">
      <c r="X943" s="37"/>
      <c r="Y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BD943" s="11"/>
      <c r="BE943" s="11"/>
      <c r="BF943" s="11"/>
      <c r="BG943" s="11"/>
      <c r="BH943" s="11"/>
      <c r="BI943" s="11"/>
      <c r="BJ943" s="11"/>
      <c r="BK943" s="11"/>
    </row>
    <row r="944" ht="15.75" customHeight="1">
      <c r="X944" s="37"/>
      <c r="Y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BD944" s="11"/>
      <c r="BE944" s="11"/>
      <c r="BF944" s="11"/>
      <c r="BG944" s="11"/>
      <c r="BH944" s="11"/>
      <c r="BI944" s="11"/>
      <c r="BJ944" s="11"/>
      <c r="BK944" s="11"/>
    </row>
    <row r="945" ht="15.75" customHeight="1">
      <c r="X945" s="37"/>
      <c r="Y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BD945" s="11"/>
      <c r="BE945" s="11"/>
      <c r="BF945" s="11"/>
      <c r="BG945" s="11"/>
      <c r="BH945" s="11"/>
      <c r="BI945" s="11"/>
      <c r="BJ945" s="11"/>
      <c r="BK945" s="11"/>
    </row>
    <row r="946" ht="15.75" customHeight="1">
      <c r="X946" s="37"/>
      <c r="Y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BD946" s="11"/>
      <c r="BE946" s="11"/>
      <c r="BF946" s="11"/>
      <c r="BG946" s="11"/>
      <c r="BH946" s="11"/>
      <c r="BI946" s="11"/>
      <c r="BJ946" s="11"/>
      <c r="BK946" s="11"/>
    </row>
    <row r="947" ht="15.75" customHeight="1">
      <c r="X947" s="37"/>
      <c r="Y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BD947" s="11"/>
      <c r="BE947" s="11"/>
      <c r="BF947" s="11"/>
      <c r="BG947" s="11"/>
      <c r="BH947" s="11"/>
      <c r="BI947" s="11"/>
      <c r="BJ947" s="11"/>
      <c r="BK947" s="11"/>
    </row>
    <row r="948" ht="15.75" customHeight="1">
      <c r="X948" s="37"/>
      <c r="Y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BD948" s="11"/>
      <c r="BE948" s="11"/>
      <c r="BF948" s="11"/>
      <c r="BG948" s="11"/>
      <c r="BH948" s="11"/>
      <c r="BI948" s="11"/>
      <c r="BJ948" s="11"/>
      <c r="BK948" s="11"/>
    </row>
    <row r="949" ht="15.75" customHeight="1">
      <c r="X949" s="37"/>
      <c r="Y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BD949" s="11"/>
      <c r="BE949" s="11"/>
      <c r="BF949" s="11"/>
      <c r="BG949" s="11"/>
      <c r="BH949" s="11"/>
      <c r="BI949" s="11"/>
      <c r="BJ949" s="11"/>
      <c r="BK949" s="11"/>
    </row>
    <row r="950" ht="15.75" customHeight="1">
      <c r="X950" s="37"/>
      <c r="Y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BD950" s="11"/>
      <c r="BE950" s="11"/>
      <c r="BF950" s="11"/>
      <c r="BG950" s="11"/>
      <c r="BH950" s="11"/>
      <c r="BI950" s="11"/>
      <c r="BJ950" s="11"/>
      <c r="BK950" s="11"/>
    </row>
    <row r="951" ht="15.75" customHeight="1">
      <c r="X951" s="37"/>
      <c r="Y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BD951" s="11"/>
      <c r="BE951" s="11"/>
      <c r="BF951" s="11"/>
      <c r="BG951" s="11"/>
      <c r="BH951" s="11"/>
      <c r="BI951" s="11"/>
      <c r="BJ951" s="11"/>
      <c r="BK951" s="11"/>
    </row>
    <row r="952" ht="15.75" customHeight="1">
      <c r="X952" s="37"/>
      <c r="Y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BD952" s="11"/>
      <c r="BE952" s="11"/>
      <c r="BF952" s="11"/>
      <c r="BG952" s="11"/>
      <c r="BH952" s="11"/>
      <c r="BI952" s="11"/>
      <c r="BJ952" s="11"/>
      <c r="BK952" s="11"/>
    </row>
    <row r="953" ht="15.75" customHeight="1">
      <c r="X953" s="37"/>
      <c r="Y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BD953" s="11"/>
      <c r="BE953" s="11"/>
      <c r="BF953" s="11"/>
      <c r="BG953" s="11"/>
      <c r="BH953" s="11"/>
      <c r="BI953" s="11"/>
      <c r="BJ953" s="11"/>
      <c r="BK953" s="11"/>
    </row>
    <row r="954" ht="15.75" customHeight="1">
      <c r="X954" s="37"/>
      <c r="Y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BD954" s="11"/>
      <c r="BE954" s="11"/>
      <c r="BF954" s="11"/>
      <c r="BG954" s="11"/>
      <c r="BH954" s="11"/>
      <c r="BI954" s="11"/>
      <c r="BJ954" s="11"/>
      <c r="BK954" s="11"/>
    </row>
    <row r="955" ht="15.75" customHeight="1">
      <c r="X955" s="37"/>
      <c r="Y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BD955" s="11"/>
      <c r="BE955" s="11"/>
      <c r="BF955" s="11"/>
      <c r="BG955" s="11"/>
      <c r="BH955" s="11"/>
      <c r="BI955" s="11"/>
      <c r="BJ955" s="11"/>
      <c r="BK955" s="11"/>
    </row>
    <row r="956" ht="15.75" customHeight="1">
      <c r="X956" s="37"/>
      <c r="Y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BD956" s="11"/>
      <c r="BE956" s="11"/>
      <c r="BF956" s="11"/>
      <c r="BG956" s="11"/>
      <c r="BH956" s="11"/>
      <c r="BI956" s="11"/>
      <c r="BJ956" s="11"/>
      <c r="BK956" s="11"/>
    </row>
    <row r="957" ht="15.75" customHeight="1">
      <c r="X957" s="37"/>
      <c r="Y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BD957" s="11"/>
      <c r="BE957" s="11"/>
      <c r="BF957" s="11"/>
      <c r="BG957" s="11"/>
      <c r="BH957" s="11"/>
      <c r="BI957" s="11"/>
      <c r="BJ957" s="11"/>
      <c r="BK957" s="11"/>
    </row>
    <row r="958" ht="15.75" customHeight="1">
      <c r="X958" s="37"/>
      <c r="Y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BD958" s="11"/>
      <c r="BE958" s="11"/>
      <c r="BF958" s="11"/>
      <c r="BG958" s="11"/>
      <c r="BH958" s="11"/>
      <c r="BI958" s="11"/>
      <c r="BJ958" s="11"/>
      <c r="BK958" s="11"/>
    </row>
    <row r="959" ht="15.75" customHeight="1">
      <c r="X959" s="37"/>
      <c r="Y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BD959" s="11"/>
      <c r="BE959" s="11"/>
      <c r="BF959" s="11"/>
      <c r="BG959" s="11"/>
      <c r="BH959" s="11"/>
      <c r="BI959" s="11"/>
      <c r="BJ959" s="11"/>
      <c r="BK959" s="11"/>
    </row>
    <row r="960" ht="15.75" customHeight="1">
      <c r="X960" s="37"/>
      <c r="Y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BD960" s="11"/>
      <c r="BE960" s="11"/>
      <c r="BF960" s="11"/>
      <c r="BG960" s="11"/>
      <c r="BH960" s="11"/>
      <c r="BI960" s="11"/>
      <c r="BJ960" s="11"/>
      <c r="BK960" s="11"/>
    </row>
    <row r="961" ht="15.75" customHeight="1">
      <c r="X961" s="37"/>
      <c r="Y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BD961" s="11"/>
      <c r="BE961" s="11"/>
      <c r="BF961" s="11"/>
      <c r="BG961" s="11"/>
      <c r="BH961" s="11"/>
      <c r="BI961" s="11"/>
      <c r="BJ961" s="11"/>
      <c r="BK961" s="11"/>
    </row>
    <row r="962" ht="15.75" customHeight="1">
      <c r="X962" s="37"/>
      <c r="Y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BD962" s="11"/>
      <c r="BE962" s="11"/>
      <c r="BF962" s="11"/>
      <c r="BG962" s="11"/>
      <c r="BH962" s="11"/>
      <c r="BI962" s="11"/>
      <c r="BJ962" s="11"/>
      <c r="BK962" s="11"/>
    </row>
    <row r="963" ht="15.75" customHeight="1">
      <c r="X963" s="37"/>
      <c r="Y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BD963" s="11"/>
      <c r="BE963" s="11"/>
      <c r="BF963" s="11"/>
      <c r="BG963" s="11"/>
      <c r="BH963" s="11"/>
      <c r="BI963" s="11"/>
      <c r="BJ963" s="11"/>
      <c r="BK963" s="11"/>
    </row>
    <row r="964" ht="15.75" customHeight="1">
      <c r="X964" s="37"/>
      <c r="Y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BD964" s="11"/>
      <c r="BE964" s="11"/>
      <c r="BF964" s="11"/>
      <c r="BG964" s="11"/>
      <c r="BH964" s="11"/>
      <c r="BI964" s="11"/>
      <c r="BJ964" s="11"/>
      <c r="BK964" s="11"/>
    </row>
    <row r="965" ht="15.75" customHeight="1">
      <c r="X965" s="37"/>
      <c r="Y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BD965" s="11"/>
      <c r="BE965" s="11"/>
      <c r="BF965" s="11"/>
      <c r="BG965" s="11"/>
      <c r="BH965" s="11"/>
      <c r="BI965" s="11"/>
      <c r="BJ965" s="11"/>
      <c r="BK965" s="11"/>
    </row>
    <row r="966" ht="15.75" customHeight="1">
      <c r="X966" s="37"/>
      <c r="Y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BD966" s="11"/>
      <c r="BE966" s="11"/>
      <c r="BF966" s="11"/>
      <c r="BG966" s="11"/>
      <c r="BH966" s="11"/>
      <c r="BI966" s="11"/>
      <c r="BJ966" s="11"/>
      <c r="BK966" s="11"/>
    </row>
    <row r="967" ht="15.75" customHeight="1">
      <c r="X967" s="37"/>
      <c r="Y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BD967" s="11"/>
      <c r="BE967" s="11"/>
      <c r="BF967" s="11"/>
      <c r="BG967" s="11"/>
      <c r="BH967" s="11"/>
      <c r="BI967" s="11"/>
      <c r="BJ967" s="11"/>
      <c r="BK967" s="11"/>
    </row>
    <row r="968" ht="15.75" customHeight="1">
      <c r="X968" s="37"/>
      <c r="Y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BD968" s="11"/>
      <c r="BE968" s="11"/>
      <c r="BF968" s="11"/>
      <c r="BG968" s="11"/>
      <c r="BH968" s="11"/>
      <c r="BI968" s="11"/>
      <c r="BJ968" s="11"/>
      <c r="BK968" s="11"/>
    </row>
    <row r="969" ht="15.75" customHeight="1">
      <c r="X969" s="37"/>
      <c r="Y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BD969" s="11"/>
      <c r="BE969" s="11"/>
      <c r="BF969" s="11"/>
      <c r="BG969" s="11"/>
      <c r="BH969" s="11"/>
      <c r="BI969" s="11"/>
      <c r="BJ969" s="11"/>
      <c r="BK969" s="11"/>
    </row>
    <row r="970" ht="15.75" customHeight="1">
      <c r="X970" s="37"/>
      <c r="Y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BD970" s="11"/>
      <c r="BE970" s="11"/>
      <c r="BF970" s="11"/>
      <c r="BG970" s="11"/>
      <c r="BH970" s="11"/>
      <c r="BI970" s="11"/>
      <c r="BJ970" s="11"/>
      <c r="BK970" s="11"/>
    </row>
    <row r="971" ht="15.75" customHeight="1">
      <c r="X971" s="37"/>
      <c r="Y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BD971" s="11"/>
      <c r="BE971" s="11"/>
      <c r="BF971" s="11"/>
      <c r="BG971" s="11"/>
      <c r="BH971" s="11"/>
      <c r="BI971" s="11"/>
      <c r="BJ971" s="11"/>
      <c r="BK971" s="11"/>
    </row>
    <row r="972" ht="15.75" customHeight="1">
      <c r="X972" s="37"/>
      <c r="Y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BD972" s="11"/>
      <c r="BE972" s="11"/>
      <c r="BF972" s="11"/>
      <c r="BG972" s="11"/>
      <c r="BH972" s="11"/>
      <c r="BI972" s="11"/>
      <c r="BJ972" s="11"/>
      <c r="BK972" s="11"/>
    </row>
    <row r="973" ht="15.75" customHeight="1">
      <c r="X973" s="37"/>
      <c r="Y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BD973" s="11"/>
      <c r="BE973" s="11"/>
      <c r="BF973" s="11"/>
      <c r="BG973" s="11"/>
      <c r="BH973" s="11"/>
      <c r="BI973" s="11"/>
      <c r="BJ973" s="11"/>
      <c r="BK973" s="11"/>
    </row>
    <row r="974" ht="15.75" customHeight="1">
      <c r="X974" s="37"/>
      <c r="Y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BD974" s="11"/>
      <c r="BE974" s="11"/>
      <c r="BF974" s="11"/>
      <c r="BG974" s="11"/>
      <c r="BH974" s="11"/>
      <c r="BI974" s="11"/>
      <c r="BJ974" s="11"/>
      <c r="BK974" s="11"/>
    </row>
    <row r="975" ht="15.75" customHeight="1">
      <c r="X975" s="37"/>
      <c r="Y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BD975" s="11"/>
      <c r="BE975" s="11"/>
      <c r="BF975" s="11"/>
      <c r="BG975" s="11"/>
      <c r="BH975" s="11"/>
      <c r="BI975" s="11"/>
      <c r="BJ975" s="11"/>
      <c r="BK975" s="11"/>
    </row>
    <row r="976" ht="15.75" customHeight="1">
      <c r="X976" s="37"/>
      <c r="Y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BD976" s="11"/>
      <c r="BE976" s="11"/>
      <c r="BF976" s="11"/>
      <c r="BG976" s="11"/>
      <c r="BH976" s="11"/>
      <c r="BI976" s="11"/>
      <c r="BJ976" s="11"/>
      <c r="BK976" s="11"/>
    </row>
    <row r="977" ht="15.75" customHeight="1">
      <c r="X977" s="37"/>
      <c r="Y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BD977" s="11"/>
      <c r="BE977" s="11"/>
      <c r="BF977" s="11"/>
      <c r="BG977" s="11"/>
      <c r="BH977" s="11"/>
      <c r="BI977" s="11"/>
      <c r="BJ977" s="11"/>
      <c r="BK977" s="11"/>
    </row>
    <row r="978" ht="15.75" customHeight="1">
      <c r="X978" s="37"/>
      <c r="Y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BD978" s="11"/>
      <c r="BE978" s="11"/>
      <c r="BF978" s="11"/>
      <c r="BG978" s="11"/>
      <c r="BH978" s="11"/>
      <c r="BI978" s="11"/>
      <c r="BJ978" s="11"/>
      <c r="BK978" s="11"/>
    </row>
    <row r="979" ht="15.75" customHeight="1">
      <c r="X979" s="37"/>
      <c r="Y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BD979" s="11"/>
      <c r="BE979" s="11"/>
      <c r="BF979" s="11"/>
      <c r="BG979" s="11"/>
      <c r="BH979" s="11"/>
      <c r="BI979" s="11"/>
      <c r="BJ979" s="11"/>
      <c r="BK979" s="11"/>
    </row>
    <row r="980" ht="15.75" customHeight="1">
      <c r="X980" s="37"/>
      <c r="Y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BD980" s="11"/>
      <c r="BE980" s="11"/>
      <c r="BF980" s="11"/>
      <c r="BG980" s="11"/>
      <c r="BH980" s="11"/>
      <c r="BI980" s="11"/>
      <c r="BJ980" s="11"/>
      <c r="BK980" s="11"/>
    </row>
    <row r="981" ht="15.75" customHeight="1">
      <c r="X981" s="37"/>
      <c r="Y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BD981" s="11"/>
      <c r="BE981" s="11"/>
      <c r="BF981" s="11"/>
      <c r="BG981" s="11"/>
      <c r="BH981" s="11"/>
      <c r="BI981" s="11"/>
      <c r="BJ981" s="11"/>
      <c r="BK981" s="11"/>
    </row>
    <row r="982" ht="15.75" customHeight="1">
      <c r="X982" s="37"/>
      <c r="Y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BD982" s="11"/>
      <c r="BE982" s="11"/>
      <c r="BF982" s="11"/>
      <c r="BG982" s="11"/>
      <c r="BH982" s="11"/>
      <c r="BI982" s="11"/>
      <c r="BJ982" s="11"/>
      <c r="BK982" s="11"/>
    </row>
    <row r="983" ht="15.75" customHeight="1">
      <c r="X983" s="37"/>
      <c r="Y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BD983" s="11"/>
      <c r="BE983" s="11"/>
      <c r="BF983" s="11"/>
      <c r="BG983" s="11"/>
      <c r="BH983" s="11"/>
      <c r="BI983" s="11"/>
      <c r="BJ983" s="11"/>
      <c r="BK983" s="11"/>
    </row>
    <row r="984" ht="15.75" customHeight="1">
      <c r="X984" s="37"/>
      <c r="Y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BD984" s="11"/>
      <c r="BE984" s="11"/>
      <c r="BF984" s="11"/>
      <c r="BG984" s="11"/>
      <c r="BH984" s="11"/>
      <c r="BI984" s="11"/>
      <c r="BJ984" s="11"/>
      <c r="BK984" s="11"/>
    </row>
    <row r="985" ht="15.75" customHeight="1">
      <c r="X985" s="37"/>
      <c r="Y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BD985" s="11"/>
      <c r="BE985" s="11"/>
      <c r="BF985" s="11"/>
      <c r="BG985" s="11"/>
      <c r="BH985" s="11"/>
      <c r="BI985" s="11"/>
      <c r="BJ985" s="11"/>
      <c r="BK985" s="11"/>
    </row>
    <row r="986" ht="15.75" customHeight="1">
      <c r="X986" s="37"/>
      <c r="Y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BD986" s="11"/>
      <c r="BE986" s="11"/>
      <c r="BF986" s="11"/>
      <c r="BG986" s="11"/>
      <c r="BH986" s="11"/>
      <c r="BI986" s="11"/>
      <c r="BJ986" s="11"/>
      <c r="BK986" s="11"/>
    </row>
    <row r="987" ht="15.75" customHeight="1">
      <c r="X987" s="37"/>
      <c r="Y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BD987" s="11"/>
      <c r="BE987" s="11"/>
      <c r="BF987" s="11"/>
      <c r="BG987" s="11"/>
      <c r="BH987" s="11"/>
      <c r="BI987" s="11"/>
      <c r="BJ987" s="11"/>
      <c r="BK987" s="11"/>
    </row>
    <row r="988" ht="15.75" customHeight="1">
      <c r="X988" s="37"/>
      <c r="Y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BD988" s="11"/>
      <c r="BE988" s="11"/>
      <c r="BF988" s="11"/>
      <c r="BG988" s="11"/>
      <c r="BH988" s="11"/>
      <c r="BI988" s="11"/>
      <c r="BJ988" s="11"/>
      <c r="BK988" s="11"/>
    </row>
    <row r="989" ht="15.75" customHeight="1">
      <c r="X989" s="37"/>
      <c r="Y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BD989" s="11"/>
      <c r="BE989" s="11"/>
      <c r="BF989" s="11"/>
      <c r="BG989" s="11"/>
      <c r="BH989" s="11"/>
      <c r="BI989" s="11"/>
      <c r="BJ989" s="11"/>
      <c r="BK989" s="11"/>
    </row>
    <row r="990" ht="15.75" customHeight="1">
      <c r="X990" s="37"/>
      <c r="Y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BD990" s="11"/>
      <c r="BE990" s="11"/>
      <c r="BF990" s="11"/>
      <c r="BG990" s="11"/>
      <c r="BH990" s="11"/>
      <c r="BI990" s="11"/>
      <c r="BJ990" s="11"/>
      <c r="BK990" s="11"/>
    </row>
    <row r="991" ht="15.75" customHeight="1">
      <c r="X991" s="37"/>
      <c r="Y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BD991" s="11"/>
      <c r="BE991" s="11"/>
      <c r="BF991" s="11"/>
      <c r="BG991" s="11"/>
      <c r="BH991" s="11"/>
      <c r="BI991" s="11"/>
      <c r="BJ991" s="11"/>
      <c r="BK991" s="11"/>
    </row>
    <row r="992" ht="15.75" customHeight="1">
      <c r="X992" s="37"/>
      <c r="Y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BD992" s="11"/>
      <c r="BE992" s="11"/>
      <c r="BF992" s="11"/>
      <c r="BG992" s="11"/>
      <c r="BH992" s="11"/>
      <c r="BI992" s="11"/>
      <c r="BJ992" s="11"/>
      <c r="BK992" s="1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6" width="8.71"/>
  </cols>
  <sheetData>
    <row r="1" ht="15.75" customHeight="1">
      <c r="A1" s="3" t="s">
        <v>150</v>
      </c>
      <c r="B1" s="2" t="s">
        <v>392</v>
      </c>
      <c r="C1" s="2" t="s">
        <v>393</v>
      </c>
    </row>
    <row r="2" ht="15.75" customHeight="1">
      <c r="A2" s="61">
        <v>46104.0</v>
      </c>
    </row>
    <row r="3" ht="15.75" customHeight="1">
      <c r="A3" s="61">
        <v>46105.0</v>
      </c>
    </row>
    <row r="4" ht="15.75" customHeight="1">
      <c r="A4" s="61">
        <v>46106.0</v>
      </c>
    </row>
    <row r="5" ht="15.75" customHeight="1">
      <c r="A5" s="61">
        <v>46107.0</v>
      </c>
    </row>
    <row r="6" ht="15.75" customHeight="1">
      <c r="A6" s="61"/>
    </row>
    <row r="7" ht="15.75" customHeight="1">
      <c r="A7" s="61"/>
    </row>
    <row r="8" ht="15.75" customHeight="1">
      <c r="A8" s="61"/>
    </row>
    <row r="9" ht="15.75" customHeight="1">
      <c r="A9" s="61"/>
    </row>
    <row r="10" ht="15.75" customHeight="1">
      <c r="A10" s="61"/>
    </row>
    <row r="11" ht="15.75" customHeight="1">
      <c r="A11" s="61"/>
    </row>
    <row r="12" ht="15.75" customHeight="1">
      <c r="A12" s="61"/>
    </row>
    <row r="13" ht="15.75" customHeight="1">
      <c r="A13" s="61"/>
    </row>
    <row r="14" ht="15.75" customHeight="1">
      <c r="A14" s="61"/>
    </row>
    <row r="15" ht="15.75" customHeight="1">
      <c r="A15" s="61"/>
    </row>
    <row r="16" ht="15.75" customHeight="1">
      <c r="A16" s="61"/>
    </row>
    <row r="17" ht="15.75" customHeight="1">
      <c r="A17" s="61"/>
    </row>
    <row r="18" ht="15.75" customHeight="1">
      <c r="A18" s="61"/>
    </row>
    <row r="19" ht="15.75" customHeight="1">
      <c r="A19" s="61"/>
    </row>
    <row r="20" ht="15.75" customHeight="1">
      <c r="A20" s="61"/>
    </row>
    <row r="21" ht="15.75" customHeight="1">
      <c r="A21" s="61"/>
    </row>
    <row r="22" ht="15.75" customHeight="1">
      <c r="A22" s="61"/>
    </row>
    <row r="23" ht="15.75" customHeight="1">
      <c r="A23" s="61"/>
    </row>
    <row r="24" ht="15.75" customHeight="1">
      <c r="A24" s="61"/>
    </row>
    <row r="25" ht="15.75" customHeight="1">
      <c r="A25" s="61"/>
    </row>
    <row r="26" ht="15.75" customHeight="1">
      <c r="A26" s="61"/>
    </row>
    <row r="27" ht="15.75" customHeight="1">
      <c r="A27" s="61"/>
    </row>
    <row r="28" ht="15.75" customHeight="1">
      <c r="A28" s="61"/>
    </row>
    <row r="29" ht="15.75" customHeight="1">
      <c r="A29" s="61"/>
    </row>
    <row r="30" ht="15.75" customHeight="1">
      <c r="A30" s="61"/>
    </row>
    <row r="31" ht="15.75" customHeight="1">
      <c r="A31" s="61"/>
    </row>
    <row r="32" ht="15.75" customHeight="1">
      <c r="A32" s="61"/>
    </row>
    <row r="33" ht="15.75" customHeight="1">
      <c r="A33" s="61"/>
    </row>
    <row r="34" ht="15.75" customHeight="1">
      <c r="A34" s="61"/>
    </row>
    <row r="35" ht="15.75" customHeight="1">
      <c r="A35" s="61"/>
    </row>
    <row r="36" ht="15.75" customHeight="1">
      <c r="A36" s="61"/>
    </row>
    <row r="37" ht="15.75" customHeight="1">
      <c r="A37" s="61"/>
    </row>
    <row r="38" ht="15.75" customHeight="1">
      <c r="A38" s="61"/>
    </row>
    <row r="39" ht="15.75" customHeight="1">
      <c r="A39" s="61"/>
    </row>
    <row r="40" ht="15.75" customHeight="1">
      <c r="A40" s="61"/>
    </row>
    <row r="41" ht="15.75" customHeight="1">
      <c r="A41" s="61"/>
    </row>
    <row r="42" ht="15.75" customHeight="1">
      <c r="A42" s="61"/>
    </row>
    <row r="43" ht="15.75" customHeight="1">
      <c r="A43" s="6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2.71"/>
    <col customWidth="1" min="4" max="26" width="8.71"/>
  </cols>
  <sheetData>
    <row r="1" ht="15.75" customHeight="1">
      <c r="A1" s="3" t="s">
        <v>150</v>
      </c>
      <c r="B1" s="2" t="s">
        <v>130</v>
      </c>
      <c r="C1" s="2" t="s">
        <v>394</v>
      </c>
      <c r="D1" s="2" t="s">
        <v>132</v>
      </c>
      <c r="E1" s="2" t="s">
        <v>395</v>
      </c>
    </row>
    <row r="2" ht="15.75" customHeight="1">
      <c r="A2" s="61">
        <v>46104.0</v>
      </c>
      <c r="B2" s="84"/>
    </row>
    <row r="3" ht="15.75" customHeight="1">
      <c r="A3" s="61">
        <v>46105.0</v>
      </c>
      <c r="B3" s="84"/>
    </row>
    <row r="4" ht="15.75" customHeight="1">
      <c r="A4" s="61">
        <v>46106.0</v>
      </c>
      <c r="B4" s="84"/>
    </row>
    <row r="5" ht="15.75" customHeight="1">
      <c r="A5" s="61">
        <v>46107.0</v>
      </c>
      <c r="C5" s="84"/>
    </row>
    <row r="6" ht="15.75" customHeight="1">
      <c r="A6" s="61"/>
      <c r="C6" s="84"/>
    </row>
    <row r="7" ht="15.75" customHeight="1">
      <c r="A7" s="61"/>
      <c r="C7" s="84"/>
    </row>
    <row r="8" ht="15.75" customHeight="1">
      <c r="A8" s="61"/>
      <c r="C8" s="84"/>
    </row>
    <row r="9" ht="15.75" customHeight="1">
      <c r="A9" s="61"/>
      <c r="C9" s="84"/>
    </row>
    <row r="10" ht="15.75" customHeight="1">
      <c r="A10" s="61"/>
      <c r="C10" s="84"/>
    </row>
    <row r="11" ht="15.75" customHeight="1">
      <c r="A11" s="61"/>
      <c r="C11" s="84"/>
    </row>
    <row r="12" ht="15.75" customHeight="1">
      <c r="A12" s="61"/>
      <c r="C12" s="84"/>
    </row>
    <row r="13" ht="15.75" customHeight="1">
      <c r="A13" s="61"/>
      <c r="C13" s="84"/>
    </row>
    <row r="14" ht="15.75" customHeight="1">
      <c r="A14" s="61"/>
      <c r="C14" s="84"/>
    </row>
    <row r="15" ht="15.75" customHeight="1">
      <c r="A15" s="61"/>
    </row>
    <row r="16" ht="15.75" customHeight="1">
      <c r="A16" s="61"/>
    </row>
    <row r="17" ht="15.75" customHeight="1">
      <c r="A17" s="61"/>
    </row>
    <row r="18" ht="15.75" customHeight="1">
      <c r="A18" s="61"/>
    </row>
    <row r="19" ht="15.75" customHeight="1">
      <c r="A19" s="61"/>
    </row>
    <row r="20" ht="15.75" customHeight="1">
      <c r="A20" s="61"/>
    </row>
    <row r="21" ht="15.75" customHeight="1">
      <c r="A21" s="61"/>
    </row>
    <row r="22" ht="15.75" customHeight="1">
      <c r="A22" s="61"/>
    </row>
    <row r="23" ht="15.75" customHeight="1">
      <c r="A23" s="61"/>
    </row>
    <row r="24" ht="15.75" customHeight="1">
      <c r="A24" s="61"/>
    </row>
    <row r="25" ht="15.75" customHeight="1">
      <c r="A25" s="61"/>
    </row>
    <row r="26" ht="15.75" customHeight="1">
      <c r="A26" s="61"/>
    </row>
    <row r="27" ht="15.75" customHeight="1">
      <c r="A27" s="61"/>
    </row>
    <row r="28" ht="15.75" customHeight="1">
      <c r="A28" s="61"/>
    </row>
    <row r="29" ht="15.75" customHeight="1">
      <c r="A29" s="61"/>
    </row>
    <row r="30" ht="15.75" customHeight="1">
      <c r="A30" s="61"/>
    </row>
    <row r="31" ht="15.75" customHeight="1">
      <c r="A31" s="61"/>
    </row>
    <row r="32" ht="15.75" customHeight="1">
      <c r="A32" s="61"/>
    </row>
    <row r="33" ht="15.75" customHeight="1">
      <c r="A33" s="61"/>
    </row>
    <row r="34" ht="15.75" customHeight="1">
      <c r="A34" s="61"/>
    </row>
    <row r="35" ht="15.75" customHeight="1">
      <c r="A35" s="61"/>
    </row>
    <row r="36" ht="15.75" customHeight="1">
      <c r="A36" s="61"/>
    </row>
    <row r="37" ht="15.75" customHeight="1">
      <c r="A37" s="61"/>
    </row>
    <row r="38" ht="15.75" customHeight="1">
      <c r="A38" s="61"/>
    </row>
    <row r="39" ht="15.75" customHeight="1">
      <c r="A39" s="61"/>
    </row>
    <row r="40" ht="15.75" customHeight="1">
      <c r="A40" s="61"/>
    </row>
    <row r="41" ht="15.75" customHeight="1">
      <c r="A41" s="61"/>
    </row>
    <row r="42" ht="15.75" customHeight="1">
      <c r="A42" s="61"/>
    </row>
    <row r="43" ht="15.75" customHeight="1">
      <c r="A43" s="6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86"/>
    <col customWidth="1" min="3" max="26" width="8.71"/>
  </cols>
  <sheetData>
    <row r="1" ht="15.75" customHeight="1">
      <c r="A1" s="3" t="s">
        <v>150</v>
      </c>
      <c r="B1" s="2" t="s">
        <v>396</v>
      </c>
    </row>
    <row r="2" ht="15.75" customHeight="1">
      <c r="A2" s="61">
        <v>46104.0</v>
      </c>
      <c r="B2" s="84"/>
    </row>
    <row r="3" ht="15.75" customHeight="1">
      <c r="A3" s="61">
        <v>46105.0</v>
      </c>
      <c r="B3" s="84"/>
    </row>
    <row r="4" ht="15.75" customHeight="1">
      <c r="A4" s="61">
        <v>46106.0</v>
      </c>
      <c r="B4" s="84"/>
    </row>
    <row r="5" ht="15.75" customHeight="1">
      <c r="A5" s="61">
        <v>46107.0</v>
      </c>
      <c r="B5" s="84"/>
    </row>
    <row r="6" ht="15.75" customHeight="1">
      <c r="A6" s="61"/>
      <c r="B6" s="84"/>
    </row>
    <row r="7" ht="15.75" customHeight="1">
      <c r="A7" s="61"/>
      <c r="B7" s="84"/>
    </row>
    <row r="8" ht="15.75" customHeight="1">
      <c r="A8" s="61"/>
      <c r="B8" s="84"/>
    </row>
    <row r="9" ht="15.75" customHeight="1">
      <c r="A9" s="61"/>
      <c r="B9" s="84"/>
    </row>
    <row r="10" ht="15.75" customHeight="1">
      <c r="A10" s="61"/>
      <c r="B10" s="84"/>
    </row>
    <row r="11" ht="15.75" customHeight="1">
      <c r="A11" s="61"/>
      <c r="B11" s="84"/>
    </row>
    <row r="12" ht="15.75" customHeight="1">
      <c r="A12" s="61"/>
      <c r="B12" s="84"/>
    </row>
    <row r="13" ht="15.75" customHeight="1">
      <c r="A13" s="61"/>
      <c r="B13" s="84"/>
    </row>
    <row r="14" ht="15.75" customHeight="1">
      <c r="A14" s="61"/>
      <c r="B14" s="84"/>
    </row>
    <row r="15" ht="15.75" customHeight="1">
      <c r="A15" s="61"/>
    </row>
    <row r="16" ht="15.75" customHeight="1">
      <c r="A16" s="61"/>
    </row>
    <row r="17" ht="15.75" customHeight="1">
      <c r="A17" s="61"/>
    </row>
    <row r="18" ht="15.75" customHeight="1">
      <c r="A18" s="61"/>
    </row>
    <row r="19" ht="15.75" customHeight="1">
      <c r="A19" s="61"/>
    </row>
    <row r="20" ht="15.75" customHeight="1">
      <c r="A20" s="61"/>
    </row>
    <row r="21" ht="15.75" customHeight="1">
      <c r="A21" s="61"/>
    </row>
    <row r="22" ht="15.75" customHeight="1">
      <c r="A22" s="61"/>
    </row>
    <row r="23" ht="15.75" customHeight="1">
      <c r="A23" s="61"/>
    </row>
    <row r="24" ht="15.75" customHeight="1">
      <c r="A24" s="61"/>
    </row>
    <row r="25" ht="15.75" customHeight="1">
      <c r="A25" s="61"/>
    </row>
    <row r="26" ht="15.75" customHeight="1">
      <c r="A26" s="61"/>
    </row>
    <row r="27" ht="15.75" customHeight="1">
      <c r="A27" s="61"/>
    </row>
    <row r="28" ht="15.75" customHeight="1">
      <c r="A28" s="61"/>
    </row>
    <row r="29" ht="15.75" customHeight="1">
      <c r="A29" s="61"/>
    </row>
    <row r="30" ht="15.75" customHeight="1">
      <c r="A30" s="61"/>
    </row>
    <row r="31" ht="15.75" customHeight="1">
      <c r="A31" s="61"/>
    </row>
    <row r="32" ht="15.75" customHeight="1">
      <c r="A32" s="61"/>
    </row>
    <row r="33" ht="15.75" customHeight="1">
      <c r="A33" s="61"/>
    </row>
    <row r="34" ht="15.75" customHeight="1">
      <c r="A34" s="61"/>
    </row>
    <row r="35" ht="15.75" customHeight="1">
      <c r="A35" s="61"/>
    </row>
    <row r="36" ht="15.75" customHeight="1">
      <c r="A36" s="61"/>
    </row>
    <row r="37" ht="15.75" customHeight="1">
      <c r="A37" s="61"/>
    </row>
    <row r="38" ht="15.75" customHeight="1">
      <c r="A38" s="61"/>
    </row>
    <row r="39" ht="15.75" customHeight="1">
      <c r="A39" s="61"/>
    </row>
    <row r="40" ht="15.75" customHeight="1">
      <c r="A40" s="61"/>
    </row>
    <row r="41" ht="15.75" customHeight="1">
      <c r="A41" s="61"/>
    </row>
    <row r="42" ht="15.75" customHeight="1">
      <c r="A42" s="61"/>
    </row>
    <row r="43" ht="15.75" customHeight="1">
      <c r="A43" s="6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7.57"/>
    <col customWidth="1" min="3" max="3" width="21.71"/>
    <col customWidth="1" min="4" max="4" width="28.43"/>
    <col customWidth="1" min="5" max="5" width="23.71"/>
    <col customWidth="1" min="6" max="26" width="8.71"/>
  </cols>
  <sheetData>
    <row r="1" ht="15.75" customHeight="1">
      <c r="A1" s="3" t="s">
        <v>150</v>
      </c>
      <c r="B1" s="2" t="s">
        <v>397</v>
      </c>
      <c r="C1" s="1" t="s">
        <v>398</v>
      </c>
    </row>
    <row r="2" ht="15.75" customHeight="1">
      <c r="A2" s="61">
        <v>46104.0</v>
      </c>
    </row>
    <row r="3" ht="15.75" customHeight="1">
      <c r="A3" s="61">
        <v>46105.0</v>
      </c>
    </row>
    <row r="4" ht="15.75" customHeight="1">
      <c r="A4" s="61">
        <v>46106.0</v>
      </c>
    </row>
    <row r="5" ht="15.75" customHeight="1">
      <c r="A5" s="61">
        <v>46107.0</v>
      </c>
    </row>
    <row r="6" ht="15.75" customHeight="1">
      <c r="A6" s="61"/>
    </row>
    <row r="7" ht="15.75" customHeight="1">
      <c r="A7" s="61"/>
    </row>
    <row r="8" ht="15.75" customHeight="1">
      <c r="A8" s="61"/>
    </row>
    <row r="9" ht="15.75" customHeight="1">
      <c r="A9" s="61"/>
    </row>
    <row r="10" ht="15.75" customHeight="1">
      <c r="A10" s="61"/>
    </row>
    <row r="11" ht="15.75" customHeight="1">
      <c r="A11" s="61"/>
    </row>
    <row r="12" ht="15.75" customHeight="1">
      <c r="A12" s="61"/>
    </row>
    <row r="13" ht="15.75" customHeight="1">
      <c r="A13" s="61"/>
    </row>
    <row r="14" ht="15.75" customHeight="1">
      <c r="A14" s="61"/>
    </row>
    <row r="15" ht="15.75" customHeight="1">
      <c r="A15" s="61"/>
    </row>
    <row r="16" ht="15.75" customHeight="1">
      <c r="A16" s="61"/>
    </row>
    <row r="17" ht="15.75" customHeight="1">
      <c r="A17" s="61"/>
    </row>
    <row r="18" ht="15.75" customHeight="1">
      <c r="A18" s="61"/>
    </row>
    <row r="19" ht="15.75" customHeight="1">
      <c r="A19" s="61"/>
    </row>
    <row r="20" ht="15.75" customHeight="1">
      <c r="A20" s="61"/>
    </row>
    <row r="21" ht="15.75" customHeight="1">
      <c r="A21" s="61"/>
    </row>
    <row r="22" ht="15.75" customHeight="1">
      <c r="A22" s="61"/>
    </row>
    <row r="23" ht="15.75" customHeight="1">
      <c r="A23" s="61"/>
    </row>
    <row r="24" ht="15.75" customHeight="1">
      <c r="A24" s="61"/>
    </row>
    <row r="25" ht="15.75" customHeight="1">
      <c r="A25" s="61"/>
    </row>
    <row r="26" ht="15.75" customHeight="1">
      <c r="A26" s="61"/>
    </row>
    <row r="27" ht="15.75" customHeight="1">
      <c r="A27" s="61"/>
    </row>
    <row r="28" ht="15.75" customHeight="1">
      <c r="A28" s="61"/>
    </row>
    <row r="29" ht="15.75" customHeight="1">
      <c r="A29" s="61"/>
    </row>
    <row r="30" ht="15.75" customHeight="1">
      <c r="A30" s="61"/>
    </row>
    <row r="31" ht="15.75" customHeight="1">
      <c r="A31" s="61"/>
    </row>
    <row r="32" ht="15.75" customHeight="1">
      <c r="A32" s="61"/>
    </row>
    <row r="33" ht="15.75" customHeight="1">
      <c r="A33" s="61"/>
    </row>
    <row r="34" ht="15.75" customHeight="1">
      <c r="A34" s="61"/>
    </row>
    <row r="35" ht="15.75" customHeight="1">
      <c r="A35" s="61"/>
    </row>
    <row r="36" ht="15.75" customHeight="1">
      <c r="A36" s="61"/>
    </row>
    <row r="37" ht="15.75" customHeight="1">
      <c r="A37" s="61"/>
    </row>
    <row r="38" ht="15.75" customHeight="1">
      <c r="A38" s="61"/>
    </row>
    <row r="39" ht="15.75" customHeight="1">
      <c r="A39" s="61"/>
    </row>
    <row r="40" ht="15.75" customHeight="1">
      <c r="A40" s="61"/>
    </row>
    <row r="41" ht="15.75" customHeight="1">
      <c r="A41" s="61"/>
    </row>
    <row r="42" ht="15.75" customHeight="1">
      <c r="A42" s="61"/>
    </row>
    <row r="43" ht="15.75" customHeight="1">
      <c r="A43" s="6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71"/>
    <col customWidth="1" min="3" max="3" width="12.71"/>
    <col customWidth="1" min="4" max="26" width="8.71"/>
  </cols>
  <sheetData>
    <row r="1" ht="15.75" customHeight="1">
      <c r="A1" s="3" t="s">
        <v>150</v>
      </c>
      <c r="B1" s="2" t="s">
        <v>143</v>
      </c>
      <c r="C1" s="2" t="s">
        <v>399</v>
      </c>
      <c r="D1" s="2" t="s">
        <v>400</v>
      </c>
      <c r="E1" s="2" t="s">
        <v>401</v>
      </c>
    </row>
    <row r="2" ht="15.75" customHeight="1">
      <c r="A2" s="61">
        <v>46104.0</v>
      </c>
    </row>
    <row r="3" ht="15.75" customHeight="1">
      <c r="A3" s="61">
        <v>46105.0</v>
      </c>
    </row>
    <row r="4" ht="15.75" customHeight="1">
      <c r="A4" s="61">
        <v>46106.0</v>
      </c>
    </row>
    <row r="5" ht="15.75" customHeight="1">
      <c r="A5" s="61">
        <v>46107.0</v>
      </c>
      <c r="C5" s="84"/>
    </row>
    <row r="6" ht="15.75" customHeight="1">
      <c r="A6" s="61"/>
      <c r="C6" s="84"/>
    </row>
    <row r="7" ht="15.75" customHeight="1">
      <c r="A7" s="61"/>
      <c r="C7" s="84"/>
    </row>
    <row r="8" ht="15.75" customHeight="1">
      <c r="A8" s="61"/>
      <c r="C8" s="84"/>
    </row>
    <row r="9" ht="15.75" customHeight="1">
      <c r="A9" s="61"/>
      <c r="C9" s="84"/>
    </row>
    <row r="10" ht="15.75" customHeight="1">
      <c r="A10" s="61"/>
      <c r="C10" s="84"/>
    </row>
    <row r="11" ht="15.75" customHeight="1">
      <c r="A11" s="61"/>
      <c r="C11" s="84"/>
    </row>
    <row r="12" ht="15.75" customHeight="1">
      <c r="A12" s="61"/>
      <c r="C12" s="84"/>
    </row>
    <row r="13" ht="15.75" customHeight="1">
      <c r="A13" s="61"/>
      <c r="C13" s="84"/>
    </row>
    <row r="14" ht="15.75" customHeight="1">
      <c r="A14" s="61"/>
      <c r="C14" s="84"/>
    </row>
    <row r="15" ht="15.75" customHeight="1">
      <c r="A15" s="61"/>
    </row>
    <row r="16" ht="15.75" customHeight="1">
      <c r="A16" s="61"/>
    </row>
    <row r="17" ht="15.75" customHeight="1">
      <c r="A17" s="61"/>
    </row>
    <row r="18" ht="15.75" customHeight="1">
      <c r="A18" s="61"/>
    </row>
    <row r="19" ht="15.75" customHeight="1">
      <c r="A19" s="61"/>
    </row>
    <row r="20" ht="15.75" customHeight="1">
      <c r="A20" s="61"/>
    </row>
    <row r="21" ht="15.75" customHeight="1">
      <c r="A21" s="61"/>
    </row>
    <row r="22" ht="15.75" customHeight="1">
      <c r="A22" s="61"/>
    </row>
    <row r="23" ht="15.75" customHeight="1">
      <c r="A23" s="61"/>
    </row>
    <row r="24" ht="15.75" customHeight="1">
      <c r="A24" s="61"/>
    </row>
    <row r="25" ht="15.75" customHeight="1">
      <c r="A25" s="61"/>
    </row>
    <row r="26" ht="15.75" customHeight="1">
      <c r="A26" s="61"/>
    </row>
    <row r="27" ht="15.75" customHeight="1">
      <c r="A27" s="61"/>
    </row>
    <row r="28" ht="15.75" customHeight="1">
      <c r="A28" s="61"/>
    </row>
    <row r="29" ht="15.75" customHeight="1">
      <c r="A29" s="61"/>
    </row>
    <row r="30" ht="15.75" customHeight="1">
      <c r="A30" s="61"/>
    </row>
    <row r="31" ht="15.75" customHeight="1">
      <c r="A31" s="61"/>
    </row>
    <row r="32" ht="15.75" customHeight="1">
      <c r="A32" s="61"/>
    </row>
    <row r="33" ht="15.75" customHeight="1">
      <c r="A33" s="61"/>
    </row>
    <row r="34" ht="15.75" customHeight="1">
      <c r="A34" s="61"/>
    </row>
    <row r="35" ht="15.75" customHeight="1">
      <c r="A35" s="61"/>
    </row>
    <row r="36" ht="15.75" customHeight="1">
      <c r="A36" s="61"/>
    </row>
    <row r="37" ht="15.75" customHeight="1">
      <c r="A37" s="61"/>
    </row>
    <row r="38" ht="15.75" customHeight="1">
      <c r="A38" s="61"/>
    </row>
    <row r="39" ht="15.75" customHeight="1">
      <c r="A39" s="61"/>
    </row>
    <row r="40" ht="15.75" customHeight="1">
      <c r="A40" s="61"/>
    </row>
    <row r="41" ht="15.75" customHeight="1">
      <c r="A41" s="61"/>
    </row>
    <row r="42" ht="15.75" customHeight="1">
      <c r="A42" s="61"/>
    </row>
    <row r="43" ht="15.75" customHeight="1">
      <c r="A43" s="6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王哲偉</dc:creator>
</cp:coreProperties>
</file>